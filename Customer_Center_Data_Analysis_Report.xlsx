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Online_Class_Tools\Data_Analyst\Projects\Excel_Project\"/>
    </mc:Choice>
  </mc:AlternateContent>
  <xr:revisionPtr revIDLastSave="0" documentId="13_ncr:1_{5C793817-2946-45D4-B789-460856166D6F}" xr6:coauthVersionLast="47" xr6:coauthVersionMax="47" xr10:uidLastSave="{00000000-0000-0000-0000-000000000000}"/>
  <bookViews>
    <workbookView xWindow="-108" yWindow="-108" windowWidth="23256" windowHeight="12456" activeTab="3" xr2:uid="{26D4546B-D2A1-4444-8EAF-A6228F96F0C1}"/>
  </bookViews>
  <sheets>
    <sheet name="Data" sheetId="2" r:id="rId1"/>
    <sheet name="Assets" sheetId="4" r:id="rId2"/>
    <sheet name="Pivot" sheetId="6" r:id="rId3"/>
    <sheet name="Customer_Center_Report" sheetId="5" r:id="rId4"/>
  </sheets>
  <definedNames>
    <definedName name="_xlnm._FilterDatabase" localSheetId="0" hidden="1">Data!$B$3:$H$1003</definedName>
    <definedName name="_xlcn.WorksheetConnection_Customer_Center_Data_Analysis_Report.xlsxTable31" hidden="1">Rating_Table[]</definedName>
    <definedName name="_xlcn.WorksheetConnection_Excel_Portfolio_Project.xlsxcalls1" hidden="1">calls[]</definedName>
    <definedName name="_xlcn.WorksheetConnection_Excel_Portfolio_Project.xlsxcustomers1" hidden="1">customers[]</definedName>
    <definedName name="Slicer_Representative">#N/A</definedName>
  </definedNames>
  <calcPr calcId="191029"/>
  <pivotCaches>
    <pivotCache cacheId="100" r:id="rId5"/>
    <pivotCache cacheId="103" r:id="rId6"/>
    <pivotCache cacheId="122" r:id="rId7"/>
    <pivotCache cacheId="251" r:id="rId8"/>
    <pivotCache cacheId="254" r:id="rId9"/>
    <pivotCache cacheId="257" r:id="rId10"/>
    <pivotCache cacheId="260" r:id="rId11"/>
    <pivotCache cacheId="263" r:id="rId12"/>
  </pivotCaches>
  <extLst>
    <ext xmlns:x14="http://schemas.microsoft.com/office/spreadsheetml/2009/9/main" uri="{876F7934-8845-4945-9796-88D515C7AA90}">
      <x14:pivotCaches>
        <pivotCache cacheId="106"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Excel_Portfolio_Project.xlsx!customers"/>
          <x15:modelTable id="calls" name="calls" connection="WorksheetConnection_Excel_Portfolio_Project.xlsx!calls"/>
          <x15:modelTable id="Table3" name="Table3" connection="WorksheetConnection_Customer_Center_Data_Analysis_Report.xlsx!Table3"/>
        </x15:modelTables>
        <x15:modelRelationships>
          <x15:modelRelationship fromTable="calls" fromColumn="Customer ID" toTable="customers" toColumn="Customer ID"/>
          <x15:modelRelationship fromTable="calls" fromColumn="Rating rounded" toTable="Table3" toColumn="Rating"/>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8" i="6" l="1"/>
  <c r="G41" i="6" a="1"/>
  <c r="G4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2" i="6" l="1"/>
  <c r="J45" i="6"/>
  <c r="J44" i="6"/>
  <c r="J43" i="6"/>
  <c r="K41" i="6"/>
  <c r="K45" i="6"/>
  <c r="K44" i="6"/>
  <c r="K43" i="6"/>
  <c r="K42" i="6"/>
  <c r="J4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CB57C9-FD86-4466-86DD-B4AA7A9B5EB3}" keepAlive="1" name="Query - calls" description="Connection to the 'calls' query in the workbook." type="5" refreshedVersion="8" background="1" saveData="1">
    <dbPr connection="Provider=Microsoft.Mashup.OleDb.1;Data Source=$Workbook$;Location=calls;Extended Properties=&quot;&quot;" command="SELECT * FROM [calls]"/>
  </connection>
  <connection id="2" xr16:uid="{F7473E5E-2F2B-4FB8-B7C7-23E06011C5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D660786-9513-4E6E-8EBF-2044156A8349}" name="WorksheetConnection_Customer_Center_Data_Analysis_Report.xlsx!Table3" type="102" refreshedVersion="8" minRefreshableVersion="5">
    <extLst>
      <ext xmlns:x15="http://schemas.microsoft.com/office/spreadsheetml/2010/11/main" uri="{DE250136-89BD-433C-8126-D09CA5730AF9}">
        <x15:connection id="Table3">
          <x15:rangePr sourceName="_xlcn.WorksheetConnection_Customer_Center_Data_Analysis_Report.xlsxTable31"/>
        </x15:connection>
      </ext>
    </extLst>
  </connection>
  <connection id="4" xr16:uid="{B10AF005-1A89-400C-BB8F-2502183B2CF3}" name="WorksheetConnection_Excel_Portfolio_Project.xlsx!calls" type="102" refreshedVersion="8" minRefreshableVersion="5">
    <extLst>
      <ext xmlns:x15="http://schemas.microsoft.com/office/spreadsheetml/2010/11/main" uri="{DE250136-89BD-433C-8126-D09CA5730AF9}">
        <x15:connection id="calls" autoDelete="1">
          <x15:rangePr sourceName="_xlcn.WorksheetConnection_Excel_Portfolio_Project.xlsxcalls1"/>
        </x15:connection>
      </ext>
    </extLst>
  </connection>
  <connection id="5" xr16:uid="{E4316FC2-ECF4-4A09-80DA-AF6A361D5E3D}" name="WorksheetConnection_Excel_Portfolio_Project.xlsx!customers" type="102" refreshedVersion="8" minRefreshableVersion="5">
    <extLst>
      <ext xmlns:x15="http://schemas.microsoft.com/office/spreadsheetml/2010/11/main" uri="{DE250136-89BD-433C-8126-D09CA5730AF9}">
        <x15:connection id="customers">
          <x15:rangePr sourceName="_xlcn.WorksheetConnection_Excel_Portfolio_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<sst xmlns="http://schemas.openxmlformats.org/spreadsheetml/2006/main" count="3136" uniqueCount="1078">
  <si>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</si>
  <si>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</si>
  <si>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</si>
  <si>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</si>
  <si>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</si>
  <si>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</si>
  <si>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</si>
  <si>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</si>
  <si>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</si>
  <si>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</si>
  <si>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</si>
  <si>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</si>
  <si>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</si>
  <si>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</si>
  <si>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</si>
  <si>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</si>
  <si>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</si>
  <si>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</si>
  <si>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</si>
  <si>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</si>
  <si>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</si>
  <si>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</si>
  <si>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</si>
  <si>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</si>
  <si>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</si>
  <si>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</si>
  <si>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</si>
  <si>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</si>
  <si>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</si>
  <si>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</si>
  <si>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</si>
  <si>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</si>
  <si>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</si>
  <si>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</si>
  <si>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</si>
  <si>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</si>
  <si>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</si>
  <si>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</si>
  <si>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</si>
  <si>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</si>
  <si>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</si>
  <si>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</si>
  <si>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</si>
  <si>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</si>
  <si>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</si>
  <si>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</si>
  <si>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</si>
  <si>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</si>
  <si>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</si>
  <si>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</si>
  <si>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</si>
  <si>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</si>
  <si>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</si>
  <si>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</si>
  <si>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</si>
  <si>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</si>
  <si>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</si>
  <si>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</si>
  <si>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</si>
  <si>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</si>
  <si>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</si>
  <si>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</si>
  <si>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</si>
  <si>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</si>
  <si>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</si>
  <si>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</si>
  <si>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</si>
  <si>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</si>
  <si>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</si>
  <si>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</si>
  <si>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</si>
  <si>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</si>
  <si>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</si>
  <si>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</si>
  <si>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</si>
  <si>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</si>
  <si>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</si>
  <si>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</si>
  <si>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</si>
  <si>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</si>
  <si>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</si>
  <si>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</si>
  <si>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</si>
  <si>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</si>
  <si>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</si>
  <si>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</si>
  <si>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</si>
  <si>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</si>
  <si>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</si>
  <si>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</si>
  <si>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</si>
  <si>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</si>
  <si>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</si>
  <si>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</si>
  <si>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</si>
  <si>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</si>
  <si>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</si>
  <si>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</si>
  <si>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</si>
  <si>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</si>
  <si>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</si>
  <si>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</si>
  <si>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</si>
  <si>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</si>
  <si>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</si>
  <si>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</si>
  <si>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</si>
  <si>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</si>
  <si>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</si>
  <si>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</si>
  <si>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</si>
  <si>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</si>
  <si>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</si>
  <si>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</si>
  <si>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</si>
  <si>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</si>
  <si>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</si>
  <si>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</si>
  <si>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</si>
  <si>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</si>
  <si>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</si>
  <si>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</si>
  <si>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</si>
  <si>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</si>
  <si>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</si>
  <si>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</si>
  <si>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</si>
  <si>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</si>
  <si>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</si>
  <si>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</si>
  <si>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</si>
  <si>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</si>
  <si>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</si>
  <si>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</si>
  <si>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</si>
  <si>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</si>
  <si>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</si>
  <si>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</si>
  <si>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</si>
  <si>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</si>
  <si>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</si>
  <si>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</si>
  <si>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</si>
  <si>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</si>
  <si>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</si>
  <si>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</si>
  <si>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</si>
  <si>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</si>
  <si>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</si>
  <si>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</si>
  <si>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</si>
  <si>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</si>
  <si>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</si>
  <si>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</si>
  <si>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</si>
  <si>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</si>
  <si>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</si>
  <si>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</si>
  <si>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</si>
  <si>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</si>
  <si>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</si>
  <si>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</si>
  <si>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</si>
  <si>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</si>
  <si>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</si>
  <si>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</si>
  <si>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</si>
  <si>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</si>
  <si>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</si>
  <si>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</si>
  <si>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</si>
  <si>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</si>
  <si>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</si>
  <si>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</si>
  <si>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</si>
  <si>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</si>
  <si>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</si>
  <si>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</si>
  <si>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</si>
  <si>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</si>
  <si>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</si>
  <si>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</si>
  <si>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</si>
  <si>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</si>
  <si>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</si>
  <si>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</si>
  <si>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</si>
  <si>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</si>
  <si>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</si>
  <si>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</si>
  <si>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</si>
  <si>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</si>
  <si>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</si>
  <si>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</si>
  <si>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</si>
  <si>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</si>
  <si>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</si>
  <si>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</si>
  <si>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</si>
  <si>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</si>
  <si>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</si>
  <si>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</si>
  <si>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</si>
  <si>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</si>
  <si>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</si>
  <si>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</si>
  <si>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</si>
  <si>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</si>
  <si>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</si>
  <si>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</si>
  <si>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</si>
  <si>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</si>
  <si>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</si>
  <si>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</si>
  <si>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</si>
  <si>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</si>
  <si>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</si>
  <si>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</si>
  <si>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</si>
  <si>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</si>
  <si>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</si>
  <si>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</si>
  <si>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</si>
  <si>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</si>
  <si>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</si>
  <si>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</si>
  <si>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</si>
  <si>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</si>
  <si>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</si>
  <si>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</si>
  <si>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</si>
  <si>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</si>
  <si>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</si>
  <si>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</si>
  <si>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</si>
  <si>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</si>
  <si>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</si>
  <si>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</si>
  <si>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</si>
  <si>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</si>
  <si>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</si>
  <si>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</si>
  <si>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</si>
  <si>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</si>
  <si>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</si>
  <si>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</si>
  <si>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</si>
  <si>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</si>
  <si>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</si>
  <si>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</si>
  <si>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</si>
  <si>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</si>
  <si>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</si>
  <si>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</si>
  <si>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</si>
  <si>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</si>
  <si>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</si>
  <si>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</si>
  <si>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</si>
  <si>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</si>
  <si>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</si>
  <si>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</si>
  <si>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</si>
  <si>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</si>
  <si>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</si>
  <si>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</si>
  <si>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</si>
  <si>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</si>
  <si>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</si>
  <si>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</si>
  <si>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</si>
  <si>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</si>
  <si>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</si>
  <si>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</si>
  <si>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</si>
  <si>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</si>
  <si>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</si>
  <si>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</si>
  <si>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</si>
  <si>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</si>
  <si>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</si>
  <si>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</si>
  <si>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</si>
  <si>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</si>
  <si>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</si>
  <si>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</si>
  <si>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</si>
  <si>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</si>
  <si>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</si>
  <si>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</si>
  <si>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</si>
  <si>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</si>
  <si>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</si>
  <si>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</si>
  <si>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</si>
  <si>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</si>
  <si>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</si>
  <si>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</si>
  <si>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</si>
  <si>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</si>
  <si>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</si>
  <si>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</si>
  <si>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</si>
  <si>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</si>
  <si>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</si>
  <si>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</si>
  <si>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</si>
  <si>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</si>
  <si>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</si>
  <si>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</si>
  <si>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</si>
  <si>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</si>
  <si>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</si>
  <si>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</si>
  <si>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</si>
  <si>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</si>
  <si>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</si>
  <si>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</si>
  <si>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</si>
  <si>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</si>
  <si>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</si>
  <si>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</si>
  <si>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</si>
  <si>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</si>
  <si>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</si>
  <si>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</si>
  <si>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</si>
  <si>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</si>
  <si>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</si>
  <si>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</si>
  <si>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</si>
  <si>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</si>
  <si>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</si>
  <si>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</si>
  <si>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</si>
  <si>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</si>
  <si>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</si>
  <si>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</si>
  <si>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</si>
  <si>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</si>
  <si>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</si>
  <si>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</si>
  <si>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</si>
  <si>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</si>
  <si>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</si>
  <si>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</si>
  <si>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</si>
  <si>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</si>
  <si>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</si>
  <si>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</si>
  <si>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</si>
  <si>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</si>
  <si>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</si>
  <si>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</si>
  <si>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</si>
  <si>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</si>
  <si>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</si>
  <si>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</si>
  <si>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</si>
  <si>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</si>
  <si>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</si>
  <si>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</si>
  <si>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</si>
  <si>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</si>
  <si>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</si>
  <si>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</si>
  <si>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</si>
  <si>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</si>
  <si>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</si>
  <si>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</si>
  <si>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</si>
  <si>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</si>
  <si>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</si>
  <si>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</si>
  <si>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</si>
  <si>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</si>
  <si>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</si>
  <si>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</si>
  <si>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</si>
  <si>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</si>
  <si>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</si>
  <si>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</si>
  <si>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</si>
  <si>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</si>
  <si>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</si>
  <si>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</si>
  <si>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</si>
  <si>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</si>
  <si>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</si>
  <si>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</si>
  <si>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</si>
  <si>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</si>
  <si>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</si>
  <si>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</si>
  <si>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</si>
  <si>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</si>
  <si>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</si>
  <si>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</si>
  <si>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</si>
  <si>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</si>
  <si>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</si>
  <si>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</si>
  <si>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</si>
  <si>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</si>
  <si>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</si>
  <si>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</si>
  <si>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</si>
  <si>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</si>
  <si>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</si>
  <si>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</si>
  <si>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</si>
  <si>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</si>
  <si>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</si>
  <si>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</si>
  <si>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</si>
  <si>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</si>
  <si>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</si>
  <si>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</si>
  <si>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</si>
  <si>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</si>
  <si>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</si>
  <si>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</si>
  <si>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</si>
  <si>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</si>
  <si>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</si>
  <si>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</si>
  <si>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</si>
  <si>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</si>
  <si>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</si>
  <si>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</si>
  <si>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</si>
  <si>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</si>
  <si>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</si>
  <si>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</si>
  <si>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</si>
  <si>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</si>
  <si>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</si>
  <si>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</si>
  <si>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</si>
  <si>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</si>
  <si>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</si>
  <si>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</si>
  <si>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</si>
  <si>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</si>
  <si>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</si>
  <si>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</si>
  <si>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</si>
  <si>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</si>
  <si>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</si>
  <si>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</si>
  <si>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</si>
  <si>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</si>
  <si>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</si>
  <si>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</si>
  <si>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</si>
  <si>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</si>
  <si>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</si>
  <si>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</si>
  <si>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</si>
  <si>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</si>
  <si>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</si>
  <si>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</si>
  <si>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</si>
  <si>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</si>
  <si>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</si>
  <si>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</si>
  <si>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</si>
  <si>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</si>
  <si>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</si>
  <si>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</si>
  <si>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</si>
  <si>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</si>
  <si>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</si>
  <si>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</si>
  <si>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</si>
  <si>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</si>
  <si>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</si>
  <si>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</si>
  <si>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</si>
  <si>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</si>
  <si>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</si>
  <si>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</si>
  <si>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</si>
  <si>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</si>
  <si>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</si>
  <si>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</si>
  <si>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</si>
  <si>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</si>
  <si>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</si>
  <si>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</si>
  <si>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</si>
  <si>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</si>
  <si>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</si>
  <si>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</si>
  <si>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</si>
  <si>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</si>
  <si>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</si>
  <si>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</si>
  <si>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</si>
  <si>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</si>
  <si>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</si>
  <si>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</si>
  <si>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</si>
  <si>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</si>
  <si>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</si>
  <si>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</si>
  <si>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</si>
  <si>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</si>
  <si>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</si>
  <si>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</si>
  <si>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</si>
  <si>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</si>
  <si>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</si>
  <si>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</si>
  <si>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</si>
  <si>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</si>
  <si>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</si>
  <si>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</si>
  <si>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</si>
  <si>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</si>
  <si>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</si>
  <si>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</si>
  <si>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</si>
  <si>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</si>
  <si>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</si>
  <si>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</si>
  <si>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</si>
  <si>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</si>
  <si>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</si>
  <si>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</si>
  <si>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</si>
  <si>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</si>
  <si>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</si>
  <si>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</si>
  <si>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</si>
  <si>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</si>
  <si>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</si>
  <si>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</si>
  <si>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</si>
  <si>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</si>
  <si>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</si>
  <si>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</si>
  <si>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</si>
  <si>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</si>
  <si>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</si>
  <si>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</si>
  <si>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</si>
  <si>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</si>
  <si>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</si>
  <si>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</si>
  <si>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</si>
  <si>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</si>
  <si>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</si>
  <si>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</si>
  <si>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</si>
  <si>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</si>
  <si>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</si>
  <si>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</si>
  <si>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</si>
  <si>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</si>
  <si>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</si>
  <si>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</si>
  <si>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</si>
  <si>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</si>
  <si>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</si>
  <si>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</si>
  <si>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</si>
  <si>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</si>
  <si>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</si>
  <si>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</si>
  <si>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</si>
  <si>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</si>
  <si>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</si>
  <si>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</si>
  <si>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</si>
  <si>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</si>
  <si>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</si>
  <si>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</si>
  <si>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</si>
  <si>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</si>
  <si>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</si>
  <si>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</si>
  <si>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</si>
  <si>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</si>
  <si>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</si>
  <si>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</si>
  <si>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</si>
  <si>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</si>
  <si>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</si>
  <si>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</si>
  <si>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</si>
  <si>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</si>
  <si>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</si>
  <si>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</si>
  <si>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</si>
  <si>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</si>
  <si>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</si>
  <si>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</si>
  <si>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</si>
  <si>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</si>
  <si>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</si>
  <si>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</si>
  <si>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</si>
  <si>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</si>
  <si>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</si>
  <si>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</si>
  <si>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</si>
  <si>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</si>
  <si>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</si>
  <si>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</si>
  <si>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</si>
  <si>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</si>
  <si>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</si>
  <si>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</si>
  <si>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</si>
  <si>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</si>
  <si>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</si>
  <si>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</si>
  <si>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</si>
  <si>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</si>
  <si>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</si>
  <si>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</si>
  <si>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</si>
  <si>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</si>
  <si>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</si>
  <si>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</si>
  <si>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</si>
  <si>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</si>
  <si>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</si>
  <si>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</si>
  <si>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</si>
  <si>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</si>
  <si>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</si>
  <si>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</si>
  <si>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</si>
  <si>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</si>
  <si>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</si>
  <si>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</si>
  <si>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</si>
  <si>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</si>
  <si>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</si>
  <si>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</si>
  <si>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</si>
  <si>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</si>
  <si>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</si>
  <si>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</si>
  <si>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</si>
  <si>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</si>
  <si>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</si>
  <si>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</si>
  <si>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</si>
  <si>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</si>
  <si>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</si>
  <si>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</si>
  <si>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</si>
  <si>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</si>
  <si>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</si>
  <si>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</si>
  <si>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</si>
  <si>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</si>
  <si>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</si>
  <si>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</si>
  <si>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</si>
  <si>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</si>
  <si>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</si>
  <si>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</si>
  <si>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</si>
  <si>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</si>
  <si>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</si>
  <si>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</si>
  <si>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</si>
  <si>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</si>
  <si>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</si>
  <si>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</si>
  <si>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</si>
  <si>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</si>
  <si>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</si>
  <si>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</si>
  <si>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</si>
  <si>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</si>
  <si>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</si>
  <si>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</si>
  <si>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</si>
  <si>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</si>
  <si>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</si>
  <si>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</si>
  <si>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</si>
  <si>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</si>
  <si>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</si>
  <si>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</si>
  <si>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</si>
  <si>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</si>
  <si>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</si>
  <si>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</si>
  <si>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</si>
  <si>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</si>
  <si>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</si>
  <si>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</si>
  <si>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</si>
  <si>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</si>
  <si>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</si>
  <si>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</si>
  <si>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</si>
  <si>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</si>
  <si>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</si>
  <si>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</si>
  <si>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</si>
  <si>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</si>
  <si>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</si>
  <si>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</si>
  <si>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</si>
  <si>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</si>
  <si>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</si>
  <si>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</si>
  <si>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</si>
  <si>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</si>
  <si>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</si>
  <si>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</si>
  <si>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</si>
  <si>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</si>
  <si>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</si>
  <si>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</si>
  <si>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</si>
  <si>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</si>
  <si>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</si>
  <si>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</si>
  <si>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</si>
  <si>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</si>
  <si>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</si>
  <si>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</si>
  <si>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</si>
  <si>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</si>
  <si>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</si>
  <si>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</si>
  <si>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</si>
  <si>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</si>
  <si>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</si>
  <si>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</si>
  <si>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</si>
  <si>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</si>
  <si>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</si>
  <si>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</si>
  <si>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</si>
  <si>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</si>
  <si>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</si>
  <si>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</si>
  <si>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</si>
  <si>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</si>
  <si>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</si>
  <si>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</si>
  <si>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</si>
  <si>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</si>
  <si>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</si>
  <si>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</si>
  <si>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</si>
  <si>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</si>
  <si>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</si>
  <si>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</si>
  <si>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</si>
  <si>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</si>
  <si>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</si>
  <si>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</si>
  <si>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</si>
  <si>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</si>
  <si>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</si>
  <si>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</si>
  <si>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</si>
  <si>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</si>
  <si>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</si>
  <si>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</si>
  <si>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</si>
  <si>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</si>
  <si>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</si>
  <si>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</si>
  <si>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</si>
  <si>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</si>
  <si>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</si>
  <si>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</si>
  <si>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</si>
  <si>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</si>
  <si>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</si>
  <si>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</si>
  <si>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</si>
  <si>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</si>
  <si>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</si>
  <si>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</si>
  <si>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</si>
  <si>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</si>
  <si>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</si>
  <si>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</si>
  <si>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</si>
  <si>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</si>
  <si>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</si>
  <si>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</si>
  <si>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</si>
  <si>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</si>
  <si>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</si>
  <si>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</si>
  <si>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</si>
  <si>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</si>
  <si>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</si>
  <si>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</si>
  <si>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</si>
  <si>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</si>
  <si>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</si>
  <si>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</si>
  <si>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</si>
  <si>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</si>
  <si>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</si>
  <si>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</si>
  <si>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</si>
  <si>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</si>
  <si>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</si>
  <si>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</si>
  <si>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</si>
  <si>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</si>
  <si>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</si>
  <si>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</si>
  <si>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</si>
  <si>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</si>
  <si>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</si>
  <si>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</si>
  <si>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</si>
  <si>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</si>
  <si>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</si>
  <si>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</si>
  <si>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</si>
  <si>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</si>
  <si>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</si>
  <si>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</si>
  <si>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</si>
  <si>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</si>
  <si>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</si>
  <si>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</si>
  <si>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</si>
  <si>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</si>
  <si>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</si>
  <si>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</si>
  <si>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</si>
  <si>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</si>
  <si>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</si>
  <si>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</si>
  <si>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</si>
  <si>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</si>
  <si>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</si>
  <si>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</si>
  <si>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</si>
  <si>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</si>
  <si>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</si>
  <si>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</si>
  <si>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</si>
  <si>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</si>
  <si>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</si>
  <si>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</si>
  <si>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</si>
  <si>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</si>
  <si>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</si>
  <si>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</si>
  <si>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</si>
  <si>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</si>
  <si>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</si>
  <si>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</si>
  <si>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</si>
  <si>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</si>
  <si>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</si>
  <si>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</si>
  <si>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</si>
  <si>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</si>
  <si>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</si>
  <si>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</si>
  <si>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</si>
  <si>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</si>
  <si>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</si>
  <si>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</si>
  <si>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</si>
  <si>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</si>
  <si>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</si>
  <si>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</si>
  <si>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</si>
  <si>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</si>
  <si>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</si>
  <si>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</si>
  <si>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</si>
  <si>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</si>
  <si>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</si>
  <si>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</si>
  <si>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</si>
  <si>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</si>
  <si>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</si>
  <si>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</si>
  <si>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</si>
  <si>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</si>
  <si>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</si>
  <si>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</si>
  <si>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</si>
  <si>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</si>
  <si>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</si>
  <si>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</si>
  <si>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</si>
  <si>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</si>
  <si>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</si>
  <si>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</si>
  <si>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</si>
  <si>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</si>
  <si>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</si>
  <si>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</si>
  <si>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</si>
  <si>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</si>
  <si>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</si>
  <si>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</si>
  <si>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</si>
  <si>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</si>
  <si>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</si>
  <si>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</si>
  <si>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</si>
  <si>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</si>
  <si>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</si>
  <si>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</si>
  <si>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</si>
  <si>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</si>
  <si>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</si>
  <si>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</si>
  <si>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</si>
  <si>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</si>
  <si>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</si>
  <si>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</si>
  <si>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</si>
  <si>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</si>
  <si>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</si>
  <si>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</si>
  <si>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</si>
  <si>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</si>
  <si>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</si>
  <si>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</si>
  <si>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</si>
  <si>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</si>
  <si>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</si>
  <si>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</si>
  <si>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</si>
  <si>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</si>
  <si>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</si>
  <si>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</si>
  <si>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</si>
  <si>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</si>
  <si>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</si>
  <si>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</si>
  <si>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</si>
  <si>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</si>
  <si>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</si>
  <si>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</si>
  <si>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</si>
  <si>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</si>
  <si>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</si>
  <si>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</si>
  <si>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</si>
  <si>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</si>
  <si>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</si>
  <si>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</si>
  <si>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</si>
  <si>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</si>
  <si>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</si>
  <si>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</si>
  <si>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</si>
  <si>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</si>
  <si>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</si>
  <si>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</si>
  <si>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</si>
  <si>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</si>
  <si>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</si>
  <si>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</si>
  <si>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</si>
  <si>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</si>
  <si>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</si>
  <si>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</si>
  <si>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</si>
  <si>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</si>
  <si>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</si>
  <si>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</si>
  <si>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</si>
  <si>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</si>
  <si>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</si>
  <si>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</si>
  <si>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</si>
  <si>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</si>
  <si>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</si>
  <si>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</si>
  <si>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</si>
  <si>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</si>
  <si>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</si>
  <si>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</si>
  <si>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</si>
  <si>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</si>
  <si>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</si>
  <si>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</si>
  <si>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</si>
  <si>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</si>
  <si>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</si>
  <si>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</si>
  <si>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</si>
  <si>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</si>
  <si>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</si>
  <si>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</si>
  <si>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</si>
  <si>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</si>
  <si>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</si>
  <si>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</si>
  <si>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</si>
  <si>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</si>
  <si>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</si>
  <si>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</si>
  <si>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</si>
  <si>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</si>
  <si>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</si>
  <si>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</si>
  <si>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</si>
  <si>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</si>
  <si>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</si>
  <si>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</si>
  <si>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</si>
  <si>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</si>
  <si>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</si>
  <si>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</si>
  <si>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</si>
  <si>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</si>
  <si>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</si>
  <si>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</si>
  <si>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</si>
  <si>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</si>
  <si>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</si>
  <si>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</si>
  <si>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</si>
  <si>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</si>
  <si>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</si>
  <si>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</si>
  <si>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</si>
  <si>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</si>
  <si>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</si>
  <si>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</si>
  <si>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</si>
  <si>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</si>
  <si>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</si>
  <si>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</si>
  <si>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Call_Count</t>
  </si>
  <si>
    <t>Total Amount</t>
  </si>
  <si>
    <t>Total Duration</t>
  </si>
  <si>
    <t>Avg. Rating</t>
  </si>
  <si>
    <t>5* Calls</t>
  </si>
  <si>
    <t>Grand Total</t>
  </si>
  <si>
    <t>Jan</t>
  </si>
  <si>
    <t>Feb</t>
  </si>
  <si>
    <t>Mar</t>
  </si>
  <si>
    <t>Apr</t>
  </si>
  <si>
    <t>May</t>
  </si>
  <si>
    <t>Jun</t>
  </si>
  <si>
    <t>Jul</t>
  </si>
  <si>
    <t>Aug</t>
  </si>
  <si>
    <t>Sep</t>
  </si>
  <si>
    <t>Oct</t>
  </si>
  <si>
    <t>Nov</t>
  </si>
  <si>
    <t>Dec</t>
  </si>
  <si>
    <t>Row Labels</t>
  </si>
  <si>
    <t>Call_Count2</t>
  </si>
  <si>
    <t>Friday</t>
  </si>
  <si>
    <t>Monday</t>
  </si>
  <si>
    <t>Saturday</t>
  </si>
  <si>
    <t>Sunday</t>
  </si>
  <si>
    <t>Thursday</t>
  </si>
  <si>
    <t>Tuesday</t>
  </si>
  <si>
    <t>Wednesday</t>
  </si>
  <si>
    <t xml:space="preserve">Rep </t>
  </si>
  <si>
    <t>Calls</t>
  </si>
  <si>
    <t>Amount</t>
  </si>
  <si>
    <t>Sel.Calls</t>
  </si>
  <si>
    <t>Sel.Amount</t>
  </si>
  <si>
    <t>For Graph</t>
  </si>
  <si>
    <t>Selected Rep</t>
  </si>
  <si>
    <t>Column Labels</t>
  </si>
  <si>
    <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</si>
</sst>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_ * #,##0_ ;_ * \-#,##0_ ;_ * &quot;-&quot;??_ ;_ @_ "/>
    <numFmt numFmtId="166" formatCode="_-[$$-409]* #,##0_ ;_-[$$-409]* \-#,##0\ ;_-[$$-409]* &quot;-&quot;??_ ;_-@_ "/>
    <numFmt numFmtId="167" formatCode="_ * #,##0.0_ ;_ * \-#,##0.0_ ;_ * &quot;-&quot;??_ ;_ @_ "/>
    <numFmt numFmtId="168" formatCode="\$#,##0;\(\$#,##0\);\$#,##0"/>
    <numFmt numFmtId="169" formatCode="\$#,###.0,&quot;k&quot;"/>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8"/>
      <color theme="1"/>
      <name val="Aptos ExtraBold"/>
      <family val="2"/>
    </font>
  </fonts>
  <fills count="4">
    <fill>
      <patternFill patternType="none"/>
    </fill>
    <fill>
      <patternFill patternType="gray125"/>
    </fill>
    <fill>
      <patternFill patternType="solid">
        <fgColor theme="7"/>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0" borderId="0" xfId="0" applyNumberFormat="1"/>
  </cellXfs>
  <cellStyles count="1">
    <cellStyle name="Normal" xfId="0" builtinId="0"/>
  </cellStyles>
  <dxfs count="81">
    <dxf>
      <numFmt numFmtId="0" formatCode="General"/>
    </dxf>
    <dxf>
      <numFmt numFmtId="165" formatCode="_ * #,##0_ ;_ * \-#,##0_ ;_ * &quot;-&quot;??_ ;_ @_ "/>
    </dxf>
    <dxf>
      <numFmt numFmtId="165" formatCode="_ * #,##0_ ;_ * \-#,##0_ ;_ * &quot;-&quot;??_ ;_ @_ "/>
    </dxf>
    <dxf>
      <numFmt numFmtId="165" formatCode="_ * #,##0_ ;_ * \-#,##0_ ;_ * &quot;-&quot;??_ ;_ @_ "/>
    </dxf>
    <dxf>
      <numFmt numFmtId="166" formatCode="_-[$$-409]* #,##0_ ;_-[$$-409]* \-#,##0\ ;_-[$$-409]* &quot;-&quot;??_ ;_-@_ "/>
    </dxf>
    <dxf>
      <numFmt numFmtId="167" formatCode="_ * #,##0.0_ ;_ * \-#,##0.0_ ;_ * &quot;-&quot;??_ ;_ @_ "/>
    </dxf>
    <dxf>
      <numFmt numFmtId="0" formatCode="General"/>
    </dxf>
    <dxf>
      <numFmt numFmtId="165" formatCode="_ * #,##0_ ;_ * \-#,##0_ ;_ * &quot;-&quot;??_ ;_ @_ "/>
    </dxf>
    <dxf>
      <numFmt numFmtId="165" formatCode="_ * #,##0_ ;_ * \-#,##0_ ;_ * &quot;-&quot;??_ ;_ @_ "/>
    </dxf>
    <dxf>
      <numFmt numFmtId="165" formatCode="_ * #,##0_ ;_ * \-#,##0_ ;_ * &quot;-&quot;??_ ;_ @_ "/>
    </dxf>
    <dxf>
      <numFmt numFmtId="166" formatCode="_-[$$-409]* #,##0_ ;_-[$$-409]* \-#,##0\ ;_-[$$-409]* &quot;-&quot;??_ ;_-@_ "/>
    </dxf>
    <dxf>
      <numFmt numFmtId="167" formatCode="_ * #,##0.0_ ;_ * \-#,##0.0_ ;_ * &quot;-&quot;??_ ;_ @_ "/>
    </dxf>
    <dxf>
      <numFmt numFmtId="0" formatCode="General"/>
    </dxf>
    <dxf>
      <numFmt numFmtId="165" formatCode="_ * #,##0_ ;_ * \-#,##0_ ;_ * &quot;-&quot;??_ ;_ @_ "/>
    </dxf>
    <dxf>
      <numFmt numFmtId="165" formatCode="_ * #,##0_ ;_ * \-#,##0_ ;_ * &quot;-&quot;??_ ;_ @_ "/>
    </dxf>
    <dxf>
      <numFmt numFmtId="165" formatCode="_ * #,##0_ ;_ * \-#,##0_ ;_ * &quot;-&quot;??_ ;_ @_ "/>
    </dxf>
    <dxf>
      <numFmt numFmtId="166" formatCode="_-[$$-409]* #,##0_ ;_-[$$-409]* \-#,##0\ ;_-[$$-409]* &quot;-&quot;??_ ;_-@_ "/>
    </dxf>
    <dxf>
      <numFmt numFmtId="167" formatCode="_ * #,##0.0_ ;_ * \-#,##0.0_ ;_ * &quot;-&quot;??_ ;_ @_ "/>
    </dxf>
    <dxf>
      <numFmt numFmtId="0" formatCode="General"/>
    </dxf>
    <dxf>
      <numFmt numFmtId="165" formatCode="_ * #,##0_ ;_ * \-#,##0_ ;_ * &quot;-&quot;??_ ;_ @_ "/>
    </dxf>
    <dxf>
      <numFmt numFmtId="165" formatCode="_ * #,##0_ ;_ * \-#,##0_ ;_ * &quot;-&quot;??_ ;_ @_ "/>
    </dxf>
    <dxf>
      <numFmt numFmtId="165" formatCode="_ * #,##0_ ;_ * \-#,##0_ ;_ * &quot;-&quot;??_ ;_ @_ "/>
    </dxf>
    <dxf>
      <numFmt numFmtId="166" formatCode="_-[$$-409]* #,##0_ ;_-[$$-409]* \-#,##0\ ;_-[$$-409]* &quot;-&quot;??_ ;_-@_ "/>
    </dxf>
    <dxf>
      <numFmt numFmtId="167" formatCode="_ * #,##0.0_ ;_ * \-#,##0.0_ ;_ * &quot;-&quot;??_ ;_ @_ "/>
    </dxf>
    <dxf>
      <numFmt numFmtId="0" formatCode="General"/>
    </dxf>
    <dxf>
      <numFmt numFmtId="165" formatCode="_ * #,##0_ ;_ * \-#,##0_ ;_ * &quot;-&quot;??_ ;_ @_ "/>
    </dxf>
    <dxf>
      <numFmt numFmtId="165" formatCode="_ * #,##0_ ;_ * \-#,##0_ ;_ * &quot;-&quot;??_ ;_ @_ "/>
    </dxf>
    <dxf>
      <numFmt numFmtId="165" formatCode="_ * #,##0_ ;_ * \-#,##0_ ;_ * &quot;-&quot;??_ ;_ @_ "/>
    </dxf>
    <dxf>
      <numFmt numFmtId="166" formatCode="_-[$$-409]* #,##0_ ;_-[$$-409]* \-#,##0\ ;_-[$$-409]* &quot;-&quot;??_ ;_-@_ "/>
    </dxf>
    <dxf>
      <numFmt numFmtId="167" formatCode="_ * #,##0.0_ ;_ * \-#,##0.0_ ;_ * &quot;-&quot;??_ ;_ @_ "/>
    </dxf>
    <dxf>
      <numFmt numFmtId="0" formatCode="General"/>
    </dxf>
    <dxf>
      <numFmt numFmtId="165" formatCode="_ * #,##0_ ;_ * \-#,##0_ ;_ * &quot;-&quot;??_ ;_ @_ "/>
    </dxf>
    <dxf>
      <numFmt numFmtId="165" formatCode="_ * #,##0_ ;_ * \-#,##0_ ;_ * &quot;-&quot;??_ ;_ @_ "/>
    </dxf>
    <dxf>
      <numFmt numFmtId="165" formatCode="_ * #,##0_ ;_ * \-#,##0_ ;_ * &quot;-&quot;??_ ;_ @_ "/>
    </dxf>
    <dxf>
      <numFmt numFmtId="166" formatCode="_-[$$-409]* #,##0_ ;_-[$$-409]* \-#,##0\ ;_-[$$-409]* &quot;-&quot;??_ ;_-@_ "/>
    </dxf>
    <dxf>
      <numFmt numFmtId="167" formatCode="_ * #,##0.0_ ;_ * \-#,##0.0_ ;_ * &quot;-&quot;??_ ;_ @_ "/>
    </dxf>
    <dxf>
      <numFmt numFmtId="0" formatCode="General"/>
    </dxf>
    <dxf>
      <numFmt numFmtId="165" formatCode="_ * #,##0_ ;_ * \-#,##0_ ;_ * &quot;-&quot;??_ ;_ @_ "/>
    </dxf>
    <dxf>
      <numFmt numFmtId="165" formatCode="_ * #,##0_ ;_ * \-#,##0_ ;_ * &quot;-&quot;??_ ;_ @_ "/>
    </dxf>
    <dxf>
      <numFmt numFmtId="165" formatCode="_ * #,##0_ ;_ * \-#,##0_ ;_ * &quot;-&quot;??_ ;_ @_ "/>
    </dxf>
    <dxf>
      <numFmt numFmtId="166" formatCode="_-[$$-409]* #,##0_ ;_-[$$-409]* \-#,##0\ ;_-[$$-409]* &quot;-&quot;??_ ;_-@_ "/>
    </dxf>
    <dxf>
      <numFmt numFmtId="167" formatCode="_ * #,##0.0_ ;_ * \-#,##0.0_ ;_ * &quot;-&quot;??_ ;_ @_ "/>
    </dxf>
    <dxf>
      <numFmt numFmtId="0" formatCode="General"/>
    </dxf>
    <dxf>
      <numFmt numFmtId="165" formatCode="_ * #,##0_ ;_ * \-#,##0_ ;_ * &quot;-&quot;??_ ;_ @_ "/>
    </dxf>
    <dxf>
      <numFmt numFmtId="165" formatCode="_ * #,##0_ ;_ * \-#,##0_ ;_ * &quot;-&quot;??_ ;_ @_ "/>
    </dxf>
    <dxf>
      <numFmt numFmtId="165" formatCode="_ * #,##0_ ;_ * \-#,##0_ ;_ * &quot;-&quot;??_ ;_ @_ "/>
    </dxf>
    <dxf>
      <numFmt numFmtId="166" formatCode="_-[$$-409]* #,##0_ ;_-[$$-409]* \-#,##0\ ;_-[$$-409]* &quot;-&quot;??_ ;_-@_ "/>
    </dxf>
    <dxf>
      <numFmt numFmtId="167" formatCode="_ * #,##0.0_ ;_ * \-#,##0.0_ ;_ * &quot;-&quot;??_ ;_ @_ "/>
    </dxf>
    <dxf>
      <numFmt numFmtId="0" formatCode="General"/>
    </dxf>
    <dxf>
      <numFmt numFmtId="165" formatCode="_ * #,##0_ ;_ * \-#,##0_ ;_ * &quot;-&quot;??_ ;_ @_ "/>
    </dxf>
    <dxf>
      <numFmt numFmtId="165" formatCode="_ * #,##0_ ;_ * \-#,##0_ ;_ * &quot;-&quot;??_ ;_ @_ "/>
    </dxf>
    <dxf>
      <numFmt numFmtId="165" formatCode="_ * #,##0_ ;_ * \-#,##0_ ;_ * &quot;-&quot;??_ ;_ @_ "/>
    </dxf>
    <dxf>
      <numFmt numFmtId="166" formatCode="_-[$$-409]* #,##0_ ;_-[$$-409]* \-#,##0\ ;_-[$$-409]* &quot;-&quot;??_ ;_-@_ "/>
    </dxf>
    <dxf>
      <numFmt numFmtId="167" formatCode="_ * #,##0.0_ ;_ * \-#,##0.0_ ;_ * &quot;-&quot;??_ ;_ @_ "/>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dxf>
    <dxf>
      <numFmt numFmtId="167" formatCode="_ * #,##0.0_ ;_ * \-#,##0.0_ ;_ * &quot;-&quot;??_ ;_ @_ "/>
    </dxf>
    <dxf>
      <numFmt numFmtId="166" formatCode="_-[$$-409]* #,##0_ ;_-[$$-409]* \-#,##0\ ;_-[$$-409]* &quot;-&quot;??_ ;_-@_ "/>
    </dxf>
    <dxf>
      <numFmt numFmtId="165" formatCode="_ * #,##0_ ;_ * \-#,##0_ ;_ * &quot;-&quot;??_ ;_ @_ "/>
    </dxf>
    <dxf>
      <numFmt numFmtId="165" formatCode="_ * #,##0_ ;_ * \-#,##0_ ;_ * &quot;-&quot;??_ ;_ @_ "/>
    </dxf>
    <dxf>
      <numFmt numFmtId="0" formatCode="General"/>
    </dxf>
    <dxf>
      <numFmt numFmtId="167" formatCode="_ * #,##0.0_ ;_ * \-#,##0.0_ ;_ * &quot;-&quot;??_ ;_ @_ "/>
    </dxf>
    <dxf>
      <numFmt numFmtId="166" formatCode="_-[$$-409]* #,##0_ ;_-[$$-409]* \-#,##0\ ;_-[$$-409]* &quot;-&quot;??_ ;_-@_ "/>
    </dxf>
    <dxf>
      <numFmt numFmtId="165" formatCode="_ * #,##0_ ;_ * \-#,##0_ ;_ * &quot;-&quot;??_ ;_ @_ "/>
    </dxf>
    <dxf>
      <numFmt numFmtId="165" formatCode="_ * #,##0_ ;_ * \-#,##0_ ;_ * &quot;-&quot;??_ ;_ @_ "/>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17/06/relationships/rdRichValue" Target="richData/rdrichvalue.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microsoft.com/office/2017/06/relationships/rdRichValueTypes" Target="richData/rdRichValueTyp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microsoft.com/office/2017/06/relationships/rdRichValueStructure" Target="richData/rdrichvaluestructur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styles" Target="styles.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22/10/relationships/richValueRel" Target="richData/richValueRel.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[Customer_Center_Data_Analysis_Report.xlsx]Pivot!Weekly Trend</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75967565127995"/>
          <c:y val="0.13076691799984361"/>
          <c:w val="0.57677756173956418"/>
          <c:h val="0.78806487041705631"/>
        </c:manualLayout>
      </c:layout>
      <c:barChart>
        <c:barDir val="bar"/>
        <c:grouping val="clustered"/>
        <c:varyColors val="0"/>
        <c:ser>
          <c:idx val="0"/>
          <c:order val="0"/>
          <c:tx>
            <c:strRef>
              <c:f>Pivot!$H$19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Pivot!$G$20:$G$27</c:f>
              <c:strCache>
                <c:ptCount val="7"/>
                <c:pt idx="0">
                  <c:v>Sunday</c:v>
                </c:pt>
                <c:pt idx="1">
                  <c:v>Monday</c:v>
                </c:pt>
                <c:pt idx="2">
                  <c:v>Tuesday</c:v>
                </c:pt>
                <c:pt idx="3">
                  <c:v>Wednesday</c:v>
                </c:pt>
                <c:pt idx="4">
                  <c:v>Thursday</c:v>
                </c:pt>
                <c:pt idx="5">
                  <c:v>Friday</c:v>
                </c:pt>
                <c:pt idx="6">
                  <c:v>Saturday</c:v>
                </c:pt>
              </c:strCache>
            </c:strRef>
          </c:cat>
          <c:val>
            <c:numRef>
              <c:f>Pivot!$H$20:$H$27</c:f>
              <c:numCache>
                <c:formatCode>_ * #,##0_ ;_ * \-#,##0_ ;_ * "-"??_ ;_ @_ </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B648-4841-A1E0-F42A040BD28B}"/>
            </c:ext>
          </c:extLst>
        </c:ser>
        <c:dLbls>
          <c:dLblPos val="outEnd"/>
          <c:showLegendKey val="0"/>
          <c:showVal val="1"/>
          <c:showCatName val="0"/>
          <c:showSerName val="0"/>
          <c:showPercent val="0"/>
          <c:showBubbleSize val="0"/>
        </c:dLbls>
        <c:gapWidth val="25"/>
        <c:axId val="1516080767"/>
        <c:axId val="1516080287"/>
      </c:barChart>
      <c:catAx>
        <c:axId val="1516080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80287"/>
        <c:crosses val="autoZero"/>
        <c:auto val="1"/>
        <c:lblAlgn val="ctr"/>
        <c:lblOffset val="100"/>
        <c:noMultiLvlLbl val="0"/>
      </c:catAx>
      <c:valAx>
        <c:axId val="1516080287"/>
        <c:scaling>
          <c:orientation val="minMax"/>
        </c:scaling>
        <c:delete val="1"/>
        <c:axPos val="b"/>
        <c:numFmt formatCode="_ * #,##0_ ;_ * \-#,##0_ ;_ * &quot;-&quot;??_ ;_ @_ " sourceLinked="1"/>
        <c:majorTickMark val="out"/>
        <c:minorTickMark val="none"/>
        <c:tickLblPos val="nextTo"/>
        <c:crossAx val="151608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solidFill>
                  <a:schemeClr val="accent5"/>
                </a:solidFill>
              </a:rPr>
              <a:t>Calls</a:t>
            </a:r>
          </a:p>
        </c:rich>
      </c:tx>
      <c:layout>
        <c:manualLayout>
          <c:xMode val="edge"/>
          <c:yMode val="edge"/>
          <c:x val="9.4524741707591758E-2"/>
          <c:y val="2.751310422917091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Pivot!$G$41:$G$45</c:f>
              <c:strCache>
                <c:ptCount val="5"/>
                <c:pt idx="0">
                  <c:v>R01</c:v>
                </c:pt>
                <c:pt idx="1">
                  <c:v>R02</c:v>
                </c:pt>
                <c:pt idx="2">
                  <c:v>R03</c:v>
                </c:pt>
                <c:pt idx="3">
                  <c:v>R04</c:v>
                </c:pt>
                <c:pt idx="4">
                  <c:v>R05</c:v>
                </c:pt>
              </c:strCache>
            </c:strRef>
          </c:cat>
          <c:val>
            <c:numRef>
              <c:f>Pivot!$H$41:$H$45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441-45AF-AB84-77B330224D9B}"/>
            </c:ext>
          </c:extLst>
        </c:ser>
        <c:ser>
          <c:idx val="1"/>
          <c:order val="1"/>
          <c:tx>
            <c:strRef>
              <c:f>Pivot!$J$40</c:f>
              <c:strCache>
                <c:ptCount val="1"/>
                <c:pt idx="0">
                  <c:v>Sel.Calls</c:v>
                </c:pt>
              </c:strCache>
            </c:strRef>
          </c:tx>
          <c:spPr>
            <a:gradFill>
              <a:gsLst>
                <a:gs pos="0">
                  <a:schemeClr val="accent5"/>
                </a:gs>
                <a:gs pos="100000">
                  <a:schemeClr val="accent5">
                    <a:lumMod val="60000"/>
                    <a:lumOff val="40000"/>
                  </a:schemeClr>
                </a:gs>
              </a:gsLst>
              <a:lin ang="10800000" scaled="1"/>
            </a:gradFill>
            <a:ln>
              <a:noFill/>
            </a:ln>
            <a:effectLst/>
          </c:spPr>
          <c:invertIfNegative val="0"/>
          <c:dPt>
            <c:idx val="1"/>
            <c:invertIfNegative val="0"/>
            <c:bubble3D val="0"/>
            <c:spPr>
              <a:gradFill flip="none" rotWithShape="1">
                <a:gsLst>
                  <a:gs pos="0">
                    <a:schemeClr val="accent5"/>
                  </a:gs>
                  <a:gs pos="100000">
                    <a:schemeClr val="accent5">
                      <a:lumMod val="60000"/>
                      <a:lumOff val="40000"/>
                    </a:schemeClr>
                  </a:gs>
                </a:gsLst>
                <a:lin ang="10800000" scaled="1"/>
                <a:tileRect/>
              </a:gradFill>
              <a:ln>
                <a:noFill/>
              </a:ln>
              <a:effectLst/>
            </c:spPr>
            <c:extLst>
              <c:ext xmlns:c16="http://schemas.microsoft.com/office/drawing/2014/chart" uri="{C3380CC4-5D6E-409C-BE32-E72D297353CC}">
                <c16:uniqueId val="{00000002-D441-45AF-AB84-77B330224D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Pivot!$J$41:$J$45</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3-D441-45AF-AB84-77B330224D9B}"/>
            </c:ext>
          </c:extLst>
        </c:ser>
        <c:dLbls>
          <c:dLblPos val="outEnd"/>
          <c:showLegendKey val="0"/>
          <c:showVal val="1"/>
          <c:showCatName val="0"/>
          <c:showSerName val="0"/>
          <c:showPercent val="0"/>
          <c:showBubbleSize val="0"/>
        </c:dLbls>
        <c:gapWidth val="25"/>
        <c:overlap val="100"/>
        <c:axId val="899938351"/>
        <c:axId val="899939791"/>
      </c:barChart>
      <c:catAx>
        <c:axId val="899938351"/>
        <c:scaling>
          <c:orientation val="maxMin"/>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939791"/>
        <c:crosses val="autoZero"/>
        <c:auto val="1"/>
        <c:lblAlgn val="ctr"/>
        <c:lblOffset val="100"/>
        <c:noMultiLvlLbl val="0"/>
      </c:catAx>
      <c:valAx>
        <c:axId val="899939791"/>
        <c:scaling>
          <c:orientation val="minMax"/>
          <c:min val="0"/>
        </c:scaling>
        <c:delete val="1"/>
        <c:axPos val="b"/>
        <c:numFmt formatCode="General" sourceLinked="1"/>
        <c:majorTickMark val="out"/>
        <c:minorTickMark val="none"/>
        <c:tickLblPos val="nextTo"/>
        <c:crossAx val="89993835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6"/>
                </a:solidFill>
              </a:rPr>
              <a:t>Amount</a:t>
            </a:r>
            <a:r>
              <a:rPr lang="en-US" sz="1800" b="1">
                <a:solidFill>
                  <a:schemeClr val="accent6"/>
                </a:solidFill>
              </a:rPr>
              <a:t> </a:t>
            </a:r>
            <a:endParaRPr lang="en-IN" sz="1800" b="1">
              <a:solidFill>
                <a:schemeClr val="accent6"/>
              </a:solidFill>
            </a:endParaRPr>
          </a:p>
        </c:rich>
      </c:tx>
      <c:layout>
        <c:manualLayout>
          <c:xMode val="edge"/>
          <c:yMode val="edge"/>
          <c:x val="7.1653767235342503E-2"/>
          <c:y val="1.83420694861139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Pivot!$G$41:$G$45</c:f>
              <c:strCache>
                <c:ptCount val="5"/>
                <c:pt idx="0">
                  <c:v>R01</c:v>
                </c:pt>
                <c:pt idx="1">
                  <c:v>R02</c:v>
                </c:pt>
                <c:pt idx="2">
                  <c:v>R03</c:v>
                </c:pt>
                <c:pt idx="3">
                  <c:v>R04</c:v>
                </c:pt>
                <c:pt idx="4">
                  <c:v>R05</c:v>
                </c:pt>
              </c:strCache>
            </c:strRef>
          </c:cat>
          <c:val>
            <c:numRef>
              <c:f>Pivot!$I$41:$I$45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C1A-4A6D-BB97-A5B498F964BE}"/>
            </c:ext>
          </c:extLst>
        </c:ser>
        <c:ser>
          <c:idx val="1"/>
          <c:order val="1"/>
          <c:tx>
            <c:strRef>
              <c:f>Pivot!$K$40</c:f>
              <c:strCache>
                <c:ptCount val="1"/>
                <c:pt idx="0">
                  <c:v>Sel.Amount</c:v>
                </c:pt>
              </c:strCache>
            </c:strRef>
          </c:tx>
          <c:spPr>
            <a:gradFill>
              <a:gsLst>
                <a:gs pos="0">
                  <a:schemeClr val="accent6"/>
                </a:gs>
                <a:gs pos="100000">
                  <a:schemeClr val="accent6">
                    <a:lumMod val="60000"/>
                    <a:lumOff val="40000"/>
                  </a:schemeClr>
                </a:gs>
              </a:gsLst>
              <a:lin ang="108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Pivot!$K$41:$K$45</c:f>
              <c:numCache>
                <c:formatCode>\$#,###.0,"k"</c:formatCode>
                <c:ptCount val="5"/>
                <c:pt idx="0">
                  <c:v>18415</c:v>
                </c:pt>
                <c:pt idx="1">
                  <c:v>#N/A</c:v>
                </c:pt>
                <c:pt idx="2">
                  <c:v>#N/A</c:v>
                </c:pt>
                <c:pt idx="3">
                  <c:v>#N/A</c:v>
                </c:pt>
                <c:pt idx="4">
                  <c:v>#N/A</c:v>
                </c:pt>
              </c:numCache>
            </c:numRef>
          </c:val>
          <c:extLst>
            <c:ext xmlns:c16="http://schemas.microsoft.com/office/drawing/2014/chart" uri="{C3380CC4-5D6E-409C-BE32-E72D297353CC}">
              <c16:uniqueId val="{00000001-4C1A-4A6D-BB97-A5B498F964BE}"/>
            </c:ext>
          </c:extLst>
        </c:ser>
        <c:dLbls>
          <c:dLblPos val="outEnd"/>
          <c:showLegendKey val="0"/>
          <c:showVal val="1"/>
          <c:showCatName val="0"/>
          <c:showSerName val="0"/>
          <c:showPercent val="0"/>
          <c:showBubbleSize val="0"/>
        </c:dLbls>
        <c:gapWidth val="25"/>
        <c:overlap val="100"/>
        <c:axId val="899938351"/>
        <c:axId val="899939791"/>
      </c:barChart>
      <c:catAx>
        <c:axId val="899938351"/>
        <c:scaling>
          <c:orientation val="maxMin"/>
        </c:scaling>
        <c:delete val="1"/>
        <c:axPos val="l"/>
        <c:numFmt formatCode="General" sourceLinked="1"/>
        <c:majorTickMark val="none"/>
        <c:minorTickMark val="none"/>
        <c:tickLblPos val="nextTo"/>
        <c:crossAx val="899939791"/>
        <c:crosses val="autoZero"/>
        <c:auto val="1"/>
        <c:lblAlgn val="ctr"/>
        <c:lblOffset val="100"/>
        <c:noMultiLvlLbl val="0"/>
      </c:catAx>
      <c:valAx>
        <c:axId val="899939791"/>
        <c:scaling>
          <c:orientation val="minMax"/>
        </c:scaling>
        <c:delete val="1"/>
        <c:axPos val="t"/>
        <c:numFmt formatCode="\$#,###.0,&quot;k&quot;" sourceLinked="1"/>
        <c:majorTickMark val="none"/>
        <c:minorTickMark val="none"/>
        <c:tickLblPos val="nextTo"/>
        <c:crossAx val="89993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[Customer_Center_Data_Analysis_Report.xlsx]Pivot!Monthly Trend</c:name>
    <c:fmtId val="2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solidFill>
                  <a:srgbClr val="FF0000"/>
                </a:solidFill>
              </a:rPr>
              <a:t>Call</a:t>
            </a:r>
            <a:r>
              <a:rPr lang="en-IN" sz="2000" b="1" baseline="0">
                <a:solidFill>
                  <a:srgbClr val="FF0000"/>
                </a:solidFill>
              </a:rPr>
              <a:t> Trend</a:t>
            </a:r>
            <a:endParaRPr lang="en-IN" sz="2000" b="1">
              <a:solidFill>
                <a:srgbClr val="FF0000"/>
              </a:solidFill>
            </a:endParaRPr>
          </a:p>
        </c:rich>
      </c:tx>
      <c:layout>
        <c:manualLayout>
          <c:xMode val="edge"/>
          <c:yMode val="edge"/>
          <c:x val="5.2018913638756201E-2"/>
          <c:y val="2.777781806379042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60000"/>
                  <a:lumOff val="40000"/>
                  <a:alpha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60000"/>
                  <a:lumOff val="40000"/>
                  <a:alpha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100000">
                <a:schemeClr val="accent6">
                  <a:lumMod val="60000"/>
                  <a:lumOff val="40000"/>
                  <a:alpha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7"/>
          <c:spPr>
            <a:solidFill>
              <a:schemeClr val="bg1"/>
            </a:solidFill>
            <a:ln w="2857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Pivot!$C$19</c:f>
              <c:strCache>
                <c:ptCount val="1"/>
                <c:pt idx="0">
                  <c:v>Call_Count2</c:v>
                </c:pt>
              </c:strCache>
            </c:strRef>
          </c:tx>
          <c:spPr>
            <a:gradFill>
              <a:gsLst>
                <a:gs pos="0">
                  <a:schemeClr val="accent6"/>
                </a:gs>
                <a:gs pos="100000">
                  <a:schemeClr val="accent6">
                    <a:lumMod val="60000"/>
                    <a:lumOff val="40000"/>
                    <a:alpha val="50000"/>
                  </a:schemeClr>
                </a:gs>
              </a:gsLst>
              <a:lin ang="5400000" scaled="1"/>
            </a:gradFill>
            <a:ln>
              <a:noFill/>
            </a:ln>
            <a:effectLst/>
          </c:spPr>
          <c:cat>
            <c:strRef>
              <c:f>Pivot!$A$20:$A$32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Pivot!$C$20:$C$32</c:f>
              <c:numCache>
                <c:formatCode>_ * #,##0_ ;_ * \-#,##0_ ;_ * "-"??_ ;_ @_ </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0334-4DB6-925B-EEDB9C9E9FFE}"/>
            </c:ext>
          </c:extLst>
        </c:ser>
        <c:dLbls>
          <c:showLegendKey val="0"/>
          <c:showVal val="0"/>
          <c:showCatName val="0"/>
          <c:showSerName val="0"/>
          <c:showPercent val="0"/>
          <c:showBubbleSize val="0"/>
        </c:dLbls>
        <c:axId val="2016724863"/>
        <c:axId val="2016741663"/>
      </c:areaChart>
      <c:lineChart>
        <c:grouping val="standard"/>
        <c:varyColors val="0"/>
        <c:ser>
          <c:idx val="0"/>
          <c:order val="0"/>
          <c:tx>
            <c:strRef>
              <c:f>Pivot!$B$19</c:f>
              <c:strCache>
                <c:ptCount val="1"/>
                <c:pt idx="0">
                  <c:v>Call_Count</c:v>
                </c:pt>
              </c:strCache>
            </c:strRef>
          </c:tx>
          <c:spPr>
            <a:ln w="28575" cap="rnd">
              <a:solidFill>
                <a:srgbClr val="C00000"/>
              </a:solidFill>
              <a:round/>
            </a:ln>
            <a:effectLst/>
          </c:spPr>
          <c:marker>
            <c:symbol val="circle"/>
            <c:size val="7"/>
            <c:spPr>
              <a:solidFill>
                <a:schemeClr val="bg1"/>
              </a:solidFill>
              <a:ln w="28575">
                <a:solidFill>
                  <a:schemeClr val="tx1"/>
                </a:solidFill>
              </a:ln>
              <a:effectLst/>
            </c:spPr>
          </c:marker>
          <c:cat>
            <c:strRef>
              <c:f>Pivot!$A$20:$A$32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Pivot!$B$20:$B$32</c:f>
              <c:numCache>
                <c:formatCode>_ * #,##0_ ;_ * \-#,##0_ ;_ * "-"??_ ;_ @_ </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0334-4DB6-925B-EEDB9C9E9FFE}"/>
            </c:ext>
          </c:extLst>
        </c:ser>
        <c:dLbls>
          <c:showLegendKey val="0"/>
          <c:showVal val="0"/>
          <c:showCatName val="0"/>
          <c:showSerName val="0"/>
          <c:showPercent val="0"/>
          <c:showBubbleSize val="0"/>
        </c:dLbls>
        <c:marker val="1"/>
        <c:smooth val="0"/>
        <c:axId val="2016724863"/>
        <c:axId val="2016741663"/>
      </c:lineChart>
      <c:catAx>
        <c:axId val="201672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41663"/>
        <c:crosses val="autoZero"/>
        <c:auto val="1"/>
        <c:lblAlgn val="ctr"/>
        <c:lblOffset val="100"/>
        <c:noMultiLvlLbl val="0"/>
      </c:catAx>
      <c:valAx>
        <c:axId val="2016741663"/>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72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[Customer_Center_Data_Analysis_Report.xlsx]Pivot!Gender calls</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accent5"/>
                </a:solidFill>
              </a:rPr>
              <a:t>Female</a:t>
            </a:r>
            <a:r>
              <a:rPr lang="en-US" sz="2000" b="1"/>
              <a:t> vs. </a:t>
            </a:r>
            <a:r>
              <a:rPr lang="en-US" sz="2000" b="1">
                <a:solidFill>
                  <a:schemeClr val="accent4"/>
                </a:solidFill>
              </a:rPr>
              <a:t>Male</a:t>
            </a:r>
            <a:r>
              <a:rPr lang="en-US" sz="2000" b="1" baseline="0"/>
              <a:t> Callers</a:t>
            </a:r>
            <a:endParaRPr lang="en-IN"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Pivot!$C$61:$C$62</c:f>
              <c:strCache>
                <c:ptCount val="1"/>
                <c:pt idx="0">
                  <c:v>Female</c:v>
                </c:pt>
              </c:strCache>
            </c:strRef>
          </c:tx>
          <c:spPr>
            <a:solidFill>
              <a:schemeClr val="accent5"/>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Pivot!$B$63:$B$66</c:f>
              <c:strCache>
                <c:ptCount val="3"/>
                <c:pt idx="0">
                  <c:v>Cincinnati</c:v>
                </c:pt>
                <c:pt idx="1">
                  <c:v>Cleveland</c:v>
                </c:pt>
                <c:pt idx="2">
                  <c:v>Columbus</c:v>
                </c:pt>
              </c:strCache>
            </c:strRef>
          </c:cat>
          <c:val>
            <c:numRef>
              <c:f>Pivot!$C$63:$C$66</c:f>
              <c:numCache>
                <c:formatCode>General</c:formatCode>
                <c:ptCount val="3"/>
                <c:pt idx="0">
                  <c:v>144</c:v>
                </c:pt>
                <c:pt idx="1">
                  <c:v>326</c:v>
                </c:pt>
                <c:pt idx="2">
                  <c:v>129</c:v>
                </c:pt>
              </c:numCache>
            </c:numRef>
          </c:val>
          <c:extLst>
            <c:ext xmlns:c16="http://schemas.microsoft.com/office/drawing/2014/chart" uri="{C3380CC4-5D6E-409C-BE32-E72D297353CC}">
              <c16:uniqueId val="{00000000-0B4B-44D5-B9FB-1CE31ABF1392}"/>
            </c:ext>
          </c:extLst>
        </c:ser>
        <c:ser>
          <c:idx val="1"/>
          <c:order val="1"/>
          <c:tx>
            <c:strRef>
              <c:f>Pivot!$D$61:$D$62</c:f>
              <c:strCache>
                <c:ptCount val="1"/>
                <c:pt idx="0">
                  <c:v>Male</c:v>
                </c:pt>
              </c:strCache>
            </c:strRef>
          </c:tx>
          <c:spPr>
            <a:solidFill>
              <a:schemeClr val="accent4"/>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Pivot!$B$63:$B$66</c:f>
              <c:strCache>
                <c:ptCount val="3"/>
                <c:pt idx="0">
                  <c:v>Cincinnati</c:v>
                </c:pt>
                <c:pt idx="1">
                  <c:v>Cleveland</c:v>
                </c:pt>
                <c:pt idx="2">
                  <c:v>Columbus</c:v>
                </c:pt>
              </c:strCache>
            </c:strRef>
          </c:cat>
          <c:val>
            <c:numRef>
              <c:f>Pivot!$D$63:$D$66</c:f>
              <c:numCache>
                <c:formatCode>General</c:formatCode>
                <c:ptCount val="3"/>
                <c:pt idx="0">
                  <c:v>132</c:v>
                </c:pt>
                <c:pt idx="1">
                  <c:v>63</c:v>
                </c:pt>
                <c:pt idx="2">
                  <c:v>206</c:v>
                </c:pt>
              </c:numCache>
            </c:numRef>
          </c:val>
          <c:extLst>
            <c:ext xmlns:c16="http://schemas.microsoft.com/office/drawing/2014/chart" uri="{C3380CC4-5D6E-409C-BE32-E72D297353CC}">
              <c16:uniqueId val="{00000001-0B4B-44D5-B9FB-1CE31ABF1392}"/>
            </c:ext>
          </c:extLst>
        </c:ser>
        <c:dLbls>
          <c:dLblPos val="ctr"/>
          <c:showLegendKey val="0"/>
          <c:showVal val="1"/>
          <c:showCatName val="0"/>
          <c:showSerName val="0"/>
          <c:showPercent val="0"/>
          <c:showBubbleSize val="0"/>
        </c:dLbls>
        <c:gapWidth val="25"/>
        <c:overlap val="100"/>
        <c:axId val="1264582687"/>
        <c:axId val="1264580767"/>
      </c:barChart>
      <c:catAx>
        <c:axId val="126458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80767"/>
        <c:crosses val="autoZero"/>
        <c:auto val="1"/>
        <c:lblAlgn val="ctr"/>
        <c:lblOffset val="100"/>
        <c:noMultiLvlLbl val="0"/>
      </c:catAx>
      <c:valAx>
        <c:axId val="1264580767"/>
        <c:scaling>
          <c:orientation val="minMax"/>
        </c:scaling>
        <c:delete val="1"/>
        <c:axPos val="l"/>
        <c:numFmt formatCode="0%" sourceLinked="1"/>
        <c:majorTickMark val="none"/>
        <c:minorTickMark val="none"/>
        <c:tickLblPos val="nextTo"/>
        <c:crossAx val="126458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[Customer_Center_Data_Analysis_Report.xlsx]Pivot!Rep Satifaction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2">
                    <a:lumMod val="50000"/>
                  </a:schemeClr>
                </a:solidFill>
              </a:rPr>
              <a:t>Rating</a:t>
            </a:r>
          </a:p>
        </c:rich>
      </c:tx>
      <c:layout>
        <c:manualLayout>
          <c:xMode val="edge"/>
          <c:yMode val="edge"/>
          <c:x val="7.4824064960629919E-2"/>
          <c:y val="3.0501076243684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Pivot!$C$69</c:f>
              <c:strCache>
                <c:ptCount val="1"/>
                <c:pt idx="0">
                  <c:v>Total</c:v>
                </c:pt>
              </c:strCache>
            </c:strRef>
          </c:tx>
          <c:spPr>
            <a:solidFill>
              <a:schemeClr val="accent1"/>
            </a:solidFill>
            <a:ln>
              <a:noFill/>
            </a:ln>
            <a:effectLst/>
          </c:spPr>
          <c:invertIfNegative val="0"/>
          <c:cat>
            <c:strRef>
              <c:f>Pivot!$B$70:$B$76</c:f>
              <c:strCache>
                <c:ptCount val="6"/>
                <c:pt idx="0">
                  <c:v>0</c:v>
                </c:pt>
                <c:pt idx="1">
                  <c:v>1</c:v>
                </c:pt>
                <c:pt idx="2">
                  <c:v>2</c:v>
                </c:pt>
                <c:pt idx="3">
                  <c:v>3</c:v>
                </c:pt>
                <c:pt idx="4">
                  <c:v>4</c:v>
                </c:pt>
                <c:pt idx="5">
                  <c:v>5</c:v>
                </c:pt>
              </c:strCache>
            </c:strRef>
          </c:cat>
          <c:val>
            <c:numRef>
              <c:f>Pivot!$C$70:$C$76</c:f>
              <c:numCache>
                <c:formatCode>General</c:formatCode>
                <c:ptCount val="6"/>
                <c:pt idx="0">
                  <c:v>0</c:v>
                </c:pt>
                <c:pt idx="1">
                  <c:v>1</c:v>
                </c:pt>
                <c:pt idx="2">
                  <c:v>9</c:v>
                </c:pt>
                <c:pt idx="3">
                  <c:v>31</c:v>
                </c:pt>
                <c:pt idx="4">
                  <c:v>88</c:v>
                </c:pt>
                <c:pt idx="5">
                  <c:v>60</c:v>
                </c:pt>
              </c:numCache>
            </c:numRef>
          </c:val>
          <c:extLst>
            <c:ext xmlns:c16="http://schemas.microsoft.com/office/drawing/2014/chart" uri="{C3380CC4-5D6E-409C-BE32-E72D297353CC}">
              <c16:uniqueId val="{00000000-877F-489D-90D0-BE618073FEAF}"/>
            </c:ext>
          </c:extLst>
        </c:ser>
        <c:dLbls>
          <c:showLegendKey val="0"/>
          <c:showVal val="0"/>
          <c:showCatName val="0"/>
          <c:showSerName val="0"/>
          <c:showPercent val="0"/>
          <c:showBubbleSize val="0"/>
        </c:dLbls>
        <c:gapWidth val="10"/>
        <c:overlap val="-27"/>
        <c:axId val="1876095551"/>
        <c:axId val="1876095071"/>
      </c:barChart>
      <c:catAx>
        <c:axId val="1876095551"/>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095071"/>
        <c:crosses val="autoZero"/>
        <c:auto val="1"/>
        <c:lblAlgn val="ctr"/>
        <c:lblOffset val="100"/>
        <c:noMultiLvlLbl val="0"/>
      </c:catAx>
      <c:valAx>
        <c:axId val="187609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09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13252</xdr:colOff>
      <xdr:row>6</xdr:row>
      <xdr:rowOff>140065</xdr:rowOff>
    </xdr:from>
    <xdr:to>
      <xdr:col>1</xdr:col>
      <xdr:colOff>422902</xdr:colOff>
      <xdr:row>8</xdr:row>
      <xdr:rowOff>36194</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2487" y="1783335"/>
          <a:ext cx="409650" cy="399711"/>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13253</xdr:colOff>
      <xdr:row>13</xdr:row>
      <xdr:rowOff>16077</xdr:rowOff>
    </xdr:from>
    <xdr:to>
      <xdr:col>1</xdr:col>
      <xdr:colOff>422903</xdr:colOff>
      <xdr:row>15</xdr:row>
      <xdr:rowOff>39758</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2488" y="3090581"/>
          <a:ext cx="409650" cy="394742"/>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19879</xdr:colOff>
      <xdr:row>9</xdr:row>
      <xdr:rowOff>94635</xdr:rowOff>
    </xdr:from>
    <xdr:to>
      <xdr:col>1</xdr:col>
      <xdr:colOff>429529</xdr:colOff>
      <xdr:row>11</xdr:row>
      <xdr:rowOff>123286</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9114" y="2427018"/>
          <a:ext cx="409650" cy="399711"/>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21</xdr:row>
      <xdr:rowOff>141514</xdr:rowOff>
    </xdr:from>
    <xdr:to>
      <xdr:col>15</xdr:col>
      <xdr:colOff>0</xdr:colOff>
      <xdr:row>44</xdr:row>
      <xdr:rowOff>97972</xdr:rowOff>
    </xdr:to>
    <xdr:sp macro="" textlink="">
      <xdr:nvSpPr>
        <xdr:cNvPr id="7" name="Rectangle 6">
          <a:extLst>
            <a:ext uri="{FF2B5EF4-FFF2-40B4-BE49-F238E27FC236}">
              <a16:creationId xmlns:a16="http://schemas.microsoft.com/office/drawing/2014/main" id="{D4BCD6A1-DF50-D66F-199F-DAF66FDCE2D7}"/>
            </a:ext>
          </a:extLst>
        </xdr:cNvPr>
        <xdr:cNvSpPr/>
      </xdr:nvSpPr>
      <xdr:spPr>
        <a:xfrm>
          <a:off x="3048000" y="4027714"/>
          <a:ext cx="6096000" cy="421277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11</xdr:row>
      <xdr:rowOff>0</xdr:rowOff>
    </xdr:from>
    <xdr:to>
      <xdr:col>4</xdr:col>
      <xdr:colOff>8228</xdr:colOff>
      <xdr:row>17</xdr:row>
      <xdr:rowOff>89647</xdr:rowOff>
    </xdr:to>
    <xdr:sp macro="" textlink="Pivot!A4">
      <xdr:nvSpPr>
        <xdr:cNvPr id="48" name="Rectangle 47">
          <a:extLst>
            <a:ext uri="{FF2B5EF4-FFF2-40B4-BE49-F238E27FC236}">
              <a16:creationId xmlns:a16="http://schemas.microsoft.com/office/drawing/2014/main" id="{16E7F31F-3ED1-4F8C-9825-18A7EA1AFEE4}"/>
            </a:ext>
          </a:extLst>
        </xdr:cNvPr>
        <xdr:cNvSpPr/>
      </xdr:nvSpPr>
      <xdr:spPr>
        <a:xfrm>
          <a:off x="609600" y="2035629"/>
          <a:ext cx="1837028" cy="1199989"/>
        </a:xfrm>
        <a:prstGeom prst="rect">
          <a:avLst/>
        </a:prstGeom>
        <a:solidFill>
          <a:schemeClr val="accent6"/>
        </a:solidFill>
        <a:effectLst>
          <a:outerShdw blurRad="254000" dist="127000" dir="3300000" sx="98000" sy="98000" algn="ctr" rotWithShape="0">
            <a:srgbClr val="000000">
              <a:alpha val="49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IN" sz="3200" b="1" cap="none" spc="0">
            <a:ln w="0"/>
            <a:solidFill>
              <a:schemeClr val="bg1"/>
            </a:solidFill>
            <a:effectLst>
              <a:outerShdw blurRad="38100" dist="25400" dir="5400000" algn="ctr" rotWithShape="0">
                <a:srgbClr val="6E747A">
                  <a:alpha val="43000"/>
                </a:srgbClr>
              </a:outerShdw>
            </a:effectLst>
          </a:endParaRPr>
        </a:p>
      </xdr:txBody>
    </xdr:sp>
    <xdr:clientData/>
  </xdr:twoCellAnchor>
  <xdr:oneCellAnchor>
    <xdr:from>
      <xdr:col>1</xdr:col>
      <xdr:colOff>15577</xdr:colOff>
      <xdr:row>11</xdr:row>
      <xdr:rowOff>44083</xdr:rowOff>
    </xdr:from>
    <xdr:ext cx="1820371" cy="363172"/>
    <xdr:sp macro="" textlink="">
      <xdr:nvSpPr>
        <xdr:cNvPr id="49" name="TextBox 48">
          <a:extLst>
            <a:ext uri="{FF2B5EF4-FFF2-40B4-BE49-F238E27FC236}">
              <a16:creationId xmlns:a16="http://schemas.microsoft.com/office/drawing/2014/main" id="{047743C5-5AC2-4BA3-B831-E96D47845DBC}"/>
            </a:ext>
          </a:extLst>
        </xdr:cNvPr>
        <xdr:cNvSpPr txBox="1"/>
      </xdr:nvSpPr>
      <xdr:spPr>
        <a:xfrm>
          <a:off x="625177" y="2079712"/>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Amount</a:t>
          </a:r>
        </a:p>
      </xdr:txBody>
    </xdr:sp>
    <xdr:clientData/>
  </xdr:oneCellAnchor>
  <xdr:twoCellAnchor>
    <xdr:from>
      <xdr:col>1</xdr:col>
      <xdr:colOff>338</xdr:colOff>
      <xdr:row>12</xdr:row>
      <xdr:rowOff>178086</xdr:rowOff>
    </xdr:from>
    <xdr:to>
      <xdr:col>4</xdr:col>
      <xdr:colOff>0</xdr:colOff>
      <xdr:row>15</xdr:row>
      <xdr:rowOff>74737</xdr:rowOff>
    </xdr:to>
    <xdr:sp macro="" textlink="Pivot!B4">
      <xdr:nvSpPr>
        <xdr:cNvPr id="50" name="TextBox 49">
          <a:extLst>
            <a:ext uri="{FF2B5EF4-FFF2-40B4-BE49-F238E27FC236}">
              <a16:creationId xmlns:a16="http://schemas.microsoft.com/office/drawing/2014/main" id="{E03812B9-0C88-4173-A2D6-351AC11F0B6D}"/>
            </a:ext>
          </a:extLst>
        </xdr:cNvPr>
        <xdr:cNvSpPr txBox="1"/>
      </xdr:nvSpPr>
      <xdr:spPr>
        <a:xfrm>
          <a:off x="609938" y="2398772"/>
          <a:ext cx="1828462" cy="45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0A9F7E-222B-498B-B970-CBCA08974C78}" type="TxLink">
            <a:rPr lang="en-US" sz="2800" b="1" i="0" u="none" strike="noStrike">
              <a:solidFill>
                <a:schemeClr val="bg1"/>
              </a:solidFill>
              <a:latin typeface="Aptos Narrow"/>
            </a:rPr>
            <a:pPr algn="ctr"/>
            <a:t> $96,623 </a:t>
          </a:fld>
          <a:endParaRPr lang="en-IN" sz="2800" b="1">
            <a:solidFill>
              <a:schemeClr val="bg1"/>
            </a:solidFill>
          </a:endParaRPr>
        </a:p>
      </xdr:txBody>
    </xdr:sp>
    <xdr:clientData/>
  </xdr:twoCellAnchor>
  <xdr:twoCellAnchor editAs="oneCell">
    <xdr:from>
      <xdr:col>1</xdr:col>
      <xdr:colOff>81985</xdr:colOff>
      <xdr:row>11</xdr:row>
      <xdr:rowOff>59324</xdr:rowOff>
    </xdr:from>
    <xdr:to>
      <xdr:col>1</xdr:col>
      <xdr:colOff>390336</xdr:colOff>
      <xdr:row>12</xdr:row>
      <xdr:rowOff>170448</xdr:rowOff>
    </xdr:to>
    <xdr:pic>
      <xdr:nvPicPr>
        <xdr:cNvPr id="51" name="Graphic 50">
          <a:extLst>
            <a:ext uri="{FF2B5EF4-FFF2-40B4-BE49-F238E27FC236}">
              <a16:creationId xmlns:a16="http://schemas.microsoft.com/office/drawing/2014/main" id="{A5D826B1-407A-4434-AE70-FE40E9D32C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691585" y="2094953"/>
          <a:ext cx="308351" cy="296181"/>
        </a:xfrm>
        <a:prstGeom prst="rect">
          <a:avLst/>
        </a:prstGeom>
      </xdr:spPr>
    </xdr:pic>
    <xdr:clientData/>
  </xdr:twoCellAnchor>
  <xdr:oneCellAnchor>
    <xdr:from>
      <xdr:col>1</xdr:col>
      <xdr:colOff>23197</xdr:colOff>
      <xdr:row>15</xdr:row>
      <xdr:rowOff>28843</xdr:rowOff>
    </xdr:from>
    <xdr:ext cx="1820371" cy="363172"/>
    <xdr:sp macro="" textlink="Pivot!B8">
      <xdr:nvSpPr>
        <xdr:cNvPr id="52" name="TextBox 51">
          <a:extLst>
            <a:ext uri="{FF2B5EF4-FFF2-40B4-BE49-F238E27FC236}">
              <a16:creationId xmlns:a16="http://schemas.microsoft.com/office/drawing/2014/main" id="{FA14D773-0978-498F-BA75-2F9F7ADAA3C6}"/>
            </a:ext>
          </a:extLst>
        </xdr:cNvPr>
        <xdr:cNvSpPr txBox="1"/>
      </xdr:nvSpPr>
      <xdr:spPr>
        <a:xfrm>
          <a:off x="632797" y="2804700"/>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CA4B106-C1F6-412F-9915-051A3C2A9780}" type="TxLink">
            <a:rPr lang="en-US" sz="1400" b="1" i="0" u="none" strike="noStrike">
              <a:solidFill>
                <a:schemeClr val="bg1"/>
              </a:solidFill>
              <a:latin typeface="Aptos Narrow"/>
            </a:rPr>
            <a:pPr algn="ctr"/>
            <a:t> $18,415 </a:t>
          </a:fld>
          <a:endParaRPr lang="en-IN" sz="1400" b="1">
            <a:solidFill>
              <a:schemeClr val="bg1"/>
            </a:solidFill>
          </a:endParaRPr>
        </a:p>
      </xdr:txBody>
    </xdr:sp>
    <xdr:clientData/>
  </xdr:oneCellAnchor>
  <xdr:twoCellAnchor>
    <xdr:from>
      <xdr:col>1</xdr:col>
      <xdr:colOff>0</xdr:colOff>
      <xdr:row>20</xdr:row>
      <xdr:rowOff>0</xdr:rowOff>
    </xdr:from>
    <xdr:to>
      <xdr:col>4</xdr:col>
      <xdr:colOff>8228</xdr:colOff>
      <xdr:row>26</xdr:row>
      <xdr:rowOff>89647</xdr:rowOff>
    </xdr:to>
    <xdr:sp macro="" textlink="Pivot!A4">
      <xdr:nvSpPr>
        <xdr:cNvPr id="53" name="Rectangle 52">
          <a:extLst>
            <a:ext uri="{FF2B5EF4-FFF2-40B4-BE49-F238E27FC236}">
              <a16:creationId xmlns:a16="http://schemas.microsoft.com/office/drawing/2014/main" id="{4AF16CB7-B6DD-4B9E-9C98-50C05B09DCC3}"/>
            </a:ext>
          </a:extLst>
        </xdr:cNvPr>
        <xdr:cNvSpPr/>
      </xdr:nvSpPr>
      <xdr:spPr>
        <a:xfrm>
          <a:off x="609600" y="3701143"/>
          <a:ext cx="1837028" cy="1199990"/>
        </a:xfrm>
        <a:prstGeom prst="rect">
          <a:avLst/>
        </a:prstGeom>
        <a:solidFill>
          <a:schemeClr val="accent6"/>
        </a:solidFill>
        <a:effectLst>
          <a:outerShdw blurRad="254000" dist="127000" dir="3300000" sx="98000" sy="98000" algn="ctr" rotWithShape="0">
            <a:srgbClr val="000000">
              <a:alpha val="49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IN" sz="3200" b="1" cap="none" spc="0">
            <a:ln w="0"/>
            <a:solidFill>
              <a:schemeClr val="bg1"/>
            </a:solidFill>
            <a:effectLst>
              <a:outerShdw blurRad="38100" dist="25400" dir="5400000" algn="ctr" rotWithShape="0">
                <a:srgbClr val="6E747A">
                  <a:alpha val="43000"/>
                </a:srgbClr>
              </a:outerShdw>
            </a:effectLst>
          </a:endParaRPr>
        </a:p>
      </xdr:txBody>
    </xdr:sp>
    <xdr:clientData/>
  </xdr:twoCellAnchor>
  <xdr:oneCellAnchor>
    <xdr:from>
      <xdr:col>1</xdr:col>
      <xdr:colOff>15577</xdr:colOff>
      <xdr:row>20</xdr:row>
      <xdr:rowOff>44083</xdr:rowOff>
    </xdr:from>
    <xdr:ext cx="1820371" cy="363172"/>
    <xdr:sp macro="" textlink="">
      <xdr:nvSpPr>
        <xdr:cNvPr id="54" name="TextBox 53">
          <a:extLst>
            <a:ext uri="{FF2B5EF4-FFF2-40B4-BE49-F238E27FC236}">
              <a16:creationId xmlns:a16="http://schemas.microsoft.com/office/drawing/2014/main" id="{75B3CD63-7957-4FAB-9A17-EAE5F07412B4}"/>
            </a:ext>
          </a:extLst>
        </xdr:cNvPr>
        <xdr:cNvSpPr txBox="1"/>
      </xdr:nvSpPr>
      <xdr:spPr>
        <a:xfrm>
          <a:off x="625177" y="3745226"/>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Duration</a:t>
          </a:r>
        </a:p>
      </xdr:txBody>
    </xdr:sp>
    <xdr:clientData/>
  </xdr:oneCellAnchor>
  <xdr:twoCellAnchor>
    <xdr:from>
      <xdr:col>1</xdr:col>
      <xdr:colOff>338</xdr:colOff>
      <xdr:row>21</xdr:row>
      <xdr:rowOff>178086</xdr:rowOff>
    </xdr:from>
    <xdr:to>
      <xdr:col>4</xdr:col>
      <xdr:colOff>0</xdr:colOff>
      <xdr:row>24</xdr:row>
      <xdr:rowOff>74737</xdr:rowOff>
    </xdr:to>
    <xdr:sp macro="" textlink="Pivot!C4">
      <xdr:nvSpPr>
        <xdr:cNvPr id="55" name="TextBox 54">
          <a:extLst>
            <a:ext uri="{FF2B5EF4-FFF2-40B4-BE49-F238E27FC236}">
              <a16:creationId xmlns:a16="http://schemas.microsoft.com/office/drawing/2014/main" id="{DC04953B-2984-4D4B-878C-14BC8421D93D}"/>
            </a:ext>
          </a:extLst>
        </xdr:cNvPr>
        <xdr:cNvSpPr txBox="1"/>
      </xdr:nvSpPr>
      <xdr:spPr>
        <a:xfrm>
          <a:off x="609938" y="4064286"/>
          <a:ext cx="1828462" cy="45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66AF43-2652-4CEF-B06B-263AA54FBBA9}" type="TxLink">
            <a:rPr lang="en-US" sz="2800" b="1" i="0" u="none" strike="noStrike">
              <a:solidFill>
                <a:schemeClr val="bg1"/>
              </a:solidFill>
              <a:latin typeface="Aptos Narrow"/>
            </a:rPr>
            <a:pPr algn="ctr"/>
            <a:t> 89,850 </a:t>
          </a:fld>
          <a:endParaRPr lang="en-IN" sz="2800" b="1">
            <a:solidFill>
              <a:schemeClr val="bg1"/>
            </a:solidFill>
          </a:endParaRPr>
        </a:p>
      </xdr:txBody>
    </xdr:sp>
    <xdr:clientData/>
  </xdr:twoCellAnchor>
  <xdr:twoCellAnchor editAs="oneCell">
    <xdr:from>
      <xdr:col>1</xdr:col>
      <xdr:colOff>81985</xdr:colOff>
      <xdr:row>20</xdr:row>
      <xdr:rowOff>59324</xdr:rowOff>
    </xdr:from>
    <xdr:to>
      <xdr:col>1</xdr:col>
      <xdr:colOff>390336</xdr:colOff>
      <xdr:row>21</xdr:row>
      <xdr:rowOff>170448</xdr:rowOff>
    </xdr:to>
    <xdr:pic>
      <xdr:nvPicPr>
        <xdr:cNvPr id="56" name="Graphic 55">
          <a:extLst>
            <a:ext uri="{FF2B5EF4-FFF2-40B4-BE49-F238E27FC236}">
              <a16:creationId xmlns:a16="http://schemas.microsoft.com/office/drawing/2014/main" id="{BB6EE929-54B9-4E7E-BBB2-21DED0D5C5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91585" y="3760467"/>
          <a:ext cx="308351" cy="296181"/>
        </a:xfrm>
        <a:prstGeom prst="rect">
          <a:avLst/>
        </a:prstGeom>
      </xdr:spPr>
    </xdr:pic>
    <xdr:clientData/>
  </xdr:twoCellAnchor>
  <xdr:oneCellAnchor>
    <xdr:from>
      <xdr:col>1</xdr:col>
      <xdr:colOff>23197</xdr:colOff>
      <xdr:row>24</xdr:row>
      <xdr:rowOff>28843</xdr:rowOff>
    </xdr:from>
    <xdr:ext cx="1820371" cy="363172"/>
    <xdr:sp macro="" textlink="Pivot!C8">
      <xdr:nvSpPr>
        <xdr:cNvPr id="57" name="TextBox 56">
          <a:extLst>
            <a:ext uri="{FF2B5EF4-FFF2-40B4-BE49-F238E27FC236}">
              <a16:creationId xmlns:a16="http://schemas.microsoft.com/office/drawing/2014/main" id="{260DB60F-97FD-454A-9E84-10E084DAFA6C}"/>
            </a:ext>
          </a:extLst>
        </xdr:cNvPr>
        <xdr:cNvSpPr txBox="1"/>
      </xdr:nvSpPr>
      <xdr:spPr>
        <a:xfrm>
          <a:off x="632797" y="4470214"/>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7F41437-6643-47B8-9DAB-496D3F366F20}" type="TxLink">
            <a:rPr lang="en-US" sz="1400" b="1" i="0" u="none" strike="noStrike">
              <a:solidFill>
                <a:schemeClr val="bg1"/>
              </a:solidFill>
              <a:latin typeface="Aptos Narrow"/>
            </a:rPr>
            <a:pPr algn="ctr"/>
            <a:t> 16,834 </a:t>
          </a:fld>
          <a:endParaRPr lang="en-IN" sz="1400" b="1">
            <a:solidFill>
              <a:schemeClr val="bg1"/>
            </a:solidFill>
          </a:endParaRPr>
        </a:p>
      </xdr:txBody>
    </xdr:sp>
    <xdr:clientData/>
  </xdr:oneCellAnchor>
  <xdr:twoCellAnchor>
    <xdr:from>
      <xdr:col>1</xdr:col>
      <xdr:colOff>0</xdr:colOff>
      <xdr:row>29</xdr:row>
      <xdr:rowOff>0</xdr:rowOff>
    </xdr:from>
    <xdr:to>
      <xdr:col>4</xdr:col>
      <xdr:colOff>8228</xdr:colOff>
      <xdr:row>35</xdr:row>
      <xdr:rowOff>89647</xdr:rowOff>
    </xdr:to>
    <xdr:sp macro="" textlink="Pivot!A4">
      <xdr:nvSpPr>
        <xdr:cNvPr id="58" name="Rectangle 57">
          <a:extLst>
            <a:ext uri="{FF2B5EF4-FFF2-40B4-BE49-F238E27FC236}">
              <a16:creationId xmlns:a16="http://schemas.microsoft.com/office/drawing/2014/main" id="{295D108A-9081-4211-BBA5-A27313335A54}"/>
            </a:ext>
          </a:extLst>
        </xdr:cNvPr>
        <xdr:cNvSpPr/>
      </xdr:nvSpPr>
      <xdr:spPr>
        <a:xfrm>
          <a:off x="609600" y="5366657"/>
          <a:ext cx="1837028" cy="1199990"/>
        </a:xfrm>
        <a:prstGeom prst="rect">
          <a:avLst/>
        </a:prstGeom>
        <a:solidFill>
          <a:schemeClr val="accent6"/>
        </a:solidFill>
        <a:effectLst>
          <a:outerShdw blurRad="254000" dist="127000" dir="3300000" sx="98000" sy="98000" algn="ctr" rotWithShape="0">
            <a:srgbClr val="000000">
              <a:alpha val="49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IN" sz="3200" b="1" cap="none" spc="0">
            <a:ln w="0"/>
            <a:solidFill>
              <a:schemeClr val="bg1"/>
            </a:solidFill>
            <a:effectLst>
              <a:outerShdw blurRad="38100" dist="25400" dir="5400000" algn="ctr" rotWithShape="0">
                <a:srgbClr val="6E747A">
                  <a:alpha val="43000"/>
                </a:srgbClr>
              </a:outerShdw>
            </a:effectLst>
          </a:endParaRPr>
        </a:p>
      </xdr:txBody>
    </xdr:sp>
    <xdr:clientData/>
  </xdr:twoCellAnchor>
  <xdr:oneCellAnchor>
    <xdr:from>
      <xdr:col>1</xdr:col>
      <xdr:colOff>15577</xdr:colOff>
      <xdr:row>29</xdr:row>
      <xdr:rowOff>44083</xdr:rowOff>
    </xdr:from>
    <xdr:ext cx="1820371" cy="363172"/>
    <xdr:sp macro="" textlink="">
      <xdr:nvSpPr>
        <xdr:cNvPr id="59" name="TextBox 58">
          <a:extLst>
            <a:ext uri="{FF2B5EF4-FFF2-40B4-BE49-F238E27FC236}">
              <a16:creationId xmlns:a16="http://schemas.microsoft.com/office/drawing/2014/main" id="{8B9880DE-DD9C-4252-B25D-15D49B8954F5}"/>
            </a:ext>
          </a:extLst>
        </xdr:cNvPr>
        <xdr:cNvSpPr txBox="1"/>
      </xdr:nvSpPr>
      <xdr:spPr>
        <a:xfrm>
          <a:off x="625177" y="5410740"/>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Avg.</a:t>
          </a:r>
          <a:r>
            <a:rPr lang="en-IN" sz="1600" b="1" baseline="0">
              <a:solidFill>
                <a:schemeClr val="bg1"/>
              </a:solidFill>
            </a:rPr>
            <a:t>Rating</a:t>
          </a:r>
          <a:endParaRPr lang="en-IN" sz="1600" b="1">
            <a:solidFill>
              <a:schemeClr val="bg1"/>
            </a:solidFill>
          </a:endParaRPr>
        </a:p>
      </xdr:txBody>
    </xdr:sp>
    <xdr:clientData/>
  </xdr:oneCellAnchor>
  <xdr:twoCellAnchor>
    <xdr:from>
      <xdr:col>1</xdr:col>
      <xdr:colOff>338</xdr:colOff>
      <xdr:row>30</xdr:row>
      <xdr:rowOff>178086</xdr:rowOff>
    </xdr:from>
    <xdr:to>
      <xdr:col>4</xdr:col>
      <xdr:colOff>0</xdr:colOff>
      <xdr:row>33</xdr:row>
      <xdr:rowOff>74737</xdr:rowOff>
    </xdr:to>
    <xdr:sp macro="" textlink="Pivot!D4">
      <xdr:nvSpPr>
        <xdr:cNvPr id="60" name="TextBox 59">
          <a:extLst>
            <a:ext uri="{FF2B5EF4-FFF2-40B4-BE49-F238E27FC236}">
              <a16:creationId xmlns:a16="http://schemas.microsoft.com/office/drawing/2014/main" id="{11022A71-1D10-4D83-90E1-5DA583DABDFA}"/>
            </a:ext>
          </a:extLst>
        </xdr:cNvPr>
        <xdr:cNvSpPr txBox="1"/>
      </xdr:nvSpPr>
      <xdr:spPr>
        <a:xfrm>
          <a:off x="609938" y="5729800"/>
          <a:ext cx="1828462" cy="451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C9C292-5AAB-43D7-9ED4-AD6B84D9A006}" type="TxLink">
            <a:rPr lang="en-US" sz="2800" b="1" i="0" u="none" strike="noStrike">
              <a:solidFill>
                <a:schemeClr val="bg1"/>
              </a:solidFill>
              <a:latin typeface="Aptos Narrow"/>
            </a:rPr>
            <a:pPr algn="ctr"/>
            <a:t> 3.9 </a:t>
          </a:fld>
          <a:endParaRPr lang="en-IN" sz="2800" b="1">
            <a:solidFill>
              <a:schemeClr val="bg1"/>
            </a:solidFill>
          </a:endParaRPr>
        </a:p>
      </xdr:txBody>
    </xdr:sp>
    <xdr:clientData/>
  </xdr:twoCellAnchor>
  <xdr:twoCellAnchor editAs="oneCell">
    <xdr:from>
      <xdr:col>1</xdr:col>
      <xdr:colOff>81986</xdr:colOff>
      <xdr:row>29</xdr:row>
      <xdr:rowOff>59324</xdr:rowOff>
    </xdr:from>
    <xdr:to>
      <xdr:col>1</xdr:col>
      <xdr:colOff>390339</xdr:colOff>
      <xdr:row>30</xdr:row>
      <xdr:rowOff>170448</xdr:rowOff>
    </xdr:to>
    <xdr:pic>
      <xdr:nvPicPr>
        <xdr:cNvPr id="61" name="Graphic 60">
          <a:extLst>
            <a:ext uri="{FF2B5EF4-FFF2-40B4-BE49-F238E27FC236}">
              <a16:creationId xmlns:a16="http://schemas.microsoft.com/office/drawing/2014/main" id="{55C6C392-754D-4A82-9E56-E6AB66020AD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91586" y="5425981"/>
          <a:ext cx="308353" cy="296181"/>
        </a:xfrm>
        <a:prstGeom prst="rect">
          <a:avLst/>
        </a:prstGeom>
      </xdr:spPr>
    </xdr:pic>
    <xdr:clientData/>
  </xdr:twoCellAnchor>
  <xdr:oneCellAnchor>
    <xdr:from>
      <xdr:col>1</xdr:col>
      <xdr:colOff>23197</xdr:colOff>
      <xdr:row>33</xdr:row>
      <xdr:rowOff>28843</xdr:rowOff>
    </xdr:from>
    <xdr:ext cx="1820371" cy="363172"/>
    <xdr:sp macro="" textlink="Pivot!D8">
      <xdr:nvSpPr>
        <xdr:cNvPr id="62" name="TextBox 61">
          <a:extLst>
            <a:ext uri="{FF2B5EF4-FFF2-40B4-BE49-F238E27FC236}">
              <a16:creationId xmlns:a16="http://schemas.microsoft.com/office/drawing/2014/main" id="{B0F89866-68C6-4393-92AA-15D835422A8D}"/>
            </a:ext>
          </a:extLst>
        </xdr:cNvPr>
        <xdr:cNvSpPr txBox="1"/>
      </xdr:nvSpPr>
      <xdr:spPr>
        <a:xfrm>
          <a:off x="632797" y="6135729"/>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1807E06-0265-4BA7-AA05-8D1B11CAE659}" type="TxLink">
            <a:rPr lang="en-US" sz="1400" b="1" i="0" u="none" strike="noStrike">
              <a:solidFill>
                <a:schemeClr val="bg1"/>
              </a:solidFill>
              <a:latin typeface="Aptos Narrow"/>
            </a:rPr>
            <a:pPr algn="ctr"/>
            <a:t> 3.9 </a:t>
          </a:fld>
          <a:endParaRPr lang="en-IN" sz="1400" b="1">
            <a:solidFill>
              <a:schemeClr val="bg1"/>
            </a:solidFill>
          </a:endParaRPr>
        </a:p>
      </xdr:txBody>
    </xdr:sp>
    <xdr:clientData/>
  </xdr:oneCellAnchor>
  <xdr:twoCellAnchor>
    <xdr:from>
      <xdr:col>1</xdr:col>
      <xdr:colOff>0</xdr:colOff>
      <xdr:row>38</xdr:row>
      <xdr:rowOff>0</xdr:rowOff>
    </xdr:from>
    <xdr:to>
      <xdr:col>4</xdr:col>
      <xdr:colOff>8228</xdr:colOff>
      <xdr:row>44</xdr:row>
      <xdr:rowOff>89647</xdr:rowOff>
    </xdr:to>
    <xdr:sp macro="" textlink="Pivot!A4">
      <xdr:nvSpPr>
        <xdr:cNvPr id="63" name="Rectangle 62">
          <a:extLst>
            <a:ext uri="{FF2B5EF4-FFF2-40B4-BE49-F238E27FC236}">
              <a16:creationId xmlns:a16="http://schemas.microsoft.com/office/drawing/2014/main" id="{4DD0E2C6-B20D-4374-98CA-5A041FCFA48D}"/>
            </a:ext>
          </a:extLst>
        </xdr:cNvPr>
        <xdr:cNvSpPr/>
      </xdr:nvSpPr>
      <xdr:spPr>
        <a:xfrm>
          <a:off x="609600" y="7032171"/>
          <a:ext cx="1837028" cy="1199990"/>
        </a:xfrm>
        <a:prstGeom prst="rect">
          <a:avLst/>
        </a:prstGeom>
        <a:solidFill>
          <a:schemeClr val="accent6"/>
        </a:solidFill>
        <a:effectLst>
          <a:outerShdw blurRad="254000" dist="127000" dir="3300000" sx="98000" sy="98000" algn="ctr" rotWithShape="0">
            <a:srgbClr val="000000">
              <a:alpha val="49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IN" sz="3200" b="1" cap="none" spc="0">
            <a:ln w="0"/>
            <a:solidFill>
              <a:schemeClr val="bg1"/>
            </a:solidFill>
            <a:effectLst>
              <a:outerShdw blurRad="38100" dist="25400" dir="5400000" algn="ctr" rotWithShape="0">
                <a:srgbClr val="6E747A">
                  <a:alpha val="43000"/>
                </a:srgbClr>
              </a:outerShdw>
            </a:effectLst>
          </a:endParaRPr>
        </a:p>
      </xdr:txBody>
    </xdr:sp>
    <xdr:clientData/>
  </xdr:twoCellAnchor>
  <xdr:oneCellAnchor>
    <xdr:from>
      <xdr:col>1</xdr:col>
      <xdr:colOff>80893</xdr:colOff>
      <xdr:row>38</xdr:row>
      <xdr:rowOff>44083</xdr:rowOff>
    </xdr:from>
    <xdr:ext cx="1820371" cy="363172"/>
    <xdr:sp macro="" textlink="">
      <xdr:nvSpPr>
        <xdr:cNvPr id="64" name="TextBox 63">
          <a:extLst>
            <a:ext uri="{FF2B5EF4-FFF2-40B4-BE49-F238E27FC236}">
              <a16:creationId xmlns:a16="http://schemas.microsoft.com/office/drawing/2014/main" id="{E92F5F7F-A6B8-40FB-B25F-5AD705F043D5}"/>
            </a:ext>
          </a:extLst>
        </xdr:cNvPr>
        <xdr:cNvSpPr txBox="1"/>
      </xdr:nvSpPr>
      <xdr:spPr>
        <a:xfrm>
          <a:off x="690493" y="7076254"/>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Happy</a:t>
          </a:r>
          <a:r>
            <a:rPr lang="en-IN" sz="1600" b="1" baseline="0">
              <a:solidFill>
                <a:schemeClr val="bg1"/>
              </a:solidFill>
            </a:rPr>
            <a:t> Callers</a:t>
          </a:r>
          <a:endParaRPr lang="en-IN" sz="1600" b="1">
            <a:solidFill>
              <a:schemeClr val="bg1"/>
            </a:solidFill>
          </a:endParaRPr>
        </a:p>
      </xdr:txBody>
    </xdr:sp>
    <xdr:clientData/>
  </xdr:oneCellAnchor>
  <xdr:twoCellAnchor>
    <xdr:from>
      <xdr:col>1</xdr:col>
      <xdr:colOff>338</xdr:colOff>
      <xdr:row>39</xdr:row>
      <xdr:rowOff>178086</xdr:rowOff>
    </xdr:from>
    <xdr:to>
      <xdr:col>4</xdr:col>
      <xdr:colOff>0</xdr:colOff>
      <xdr:row>42</xdr:row>
      <xdr:rowOff>74737</xdr:rowOff>
    </xdr:to>
    <xdr:sp macro="" textlink="Pivot!E4">
      <xdr:nvSpPr>
        <xdr:cNvPr id="65" name="TextBox 64">
          <a:extLst>
            <a:ext uri="{FF2B5EF4-FFF2-40B4-BE49-F238E27FC236}">
              <a16:creationId xmlns:a16="http://schemas.microsoft.com/office/drawing/2014/main" id="{B01AE27C-ADBE-443B-AF1F-A482703B42DE}"/>
            </a:ext>
          </a:extLst>
        </xdr:cNvPr>
        <xdr:cNvSpPr txBox="1"/>
      </xdr:nvSpPr>
      <xdr:spPr>
        <a:xfrm>
          <a:off x="609938" y="7395315"/>
          <a:ext cx="1828462" cy="45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48A6B3-775F-406F-BE0A-25FAD961B853}" type="TxLink">
            <a:rPr lang="en-US" sz="2800" b="1" i="0" u="none" strike="noStrike">
              <a:solidFill>
                <a:schemeClr val="bg1"/>
              </a:solidFill>
              <a:latin typeface="Aptos Narrow"/>
            </a:rPr>
            <a:pPr algn="ctr"/>
            <a:t> 307 </a:t>
          </a:fld>
          <a:endParaRPr lang="en-IN" sz="2800" b="1">
            <a:solidFill>
              <a:schemeClr val="bg1"/>
            </a:solidFill>
          </a:endParaRPr>
        </a:p>
      </xdr:txBody>
    </xdr:sp>
    <xdr:clientData/>
  </xdr:twoCellAnchor>
  <xdr:twoCellAnchor editAs="oneCell">
    <xdr:from>
      <xdr:col>1</xdr:col>
      <xdr:colOff>10268</xdr:colOff>
      <xdr:row>38</xdr:row>
      <xdr:rowOff>59324</xdr:rowOff>
    </xdr:from>
    <xdr:to>
      <xdr:col>1</xdr:col>
      <xdr:colOff>318621</xdr:colOff>
      <xdr:row>39</xdr:row>
      <xdr:rowOff>170448</xdr:rowOff>
    </xdr:to>
    <xdr:pic>
      <xdr:nvPicPr>
        <xdr:cNvPr id="66" name="Graphic 65">
          <a:extLst>
            <a:ext uri="{FF2B5EF4-FFF2-40B4-BE49-F238E27FC236}">
              <a16:creationId xmlns:a16="http://schemas.microsoft.com/office/drawing/2014/main" id="{BC93F7D2-8B70-4A3B-A6AD-27741249280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19868" y="7091495"/>
          <a:ext cx="308353" cy="296182"/>
        </a:xfrm>
        <a:prstGeom prst="rect">
          <a:avLst/>
        </a:prstGeom>
      </xdr:spPr>
    </xdr:pic>
    <xdr:clientData/>
  </xdr:twoCellAnchor>
  <xdr:oneCellAnchor>
    <xdr:from>
      <xdr:col>1</xdr:col>
      <xdr:colOff>23197</xdr:colOff>
      <xdr:row>42</xdr:row>
      <xdr:rowOff>28843</xdr:rowOff>
    </xdr:from>
    <xdr:ext cx="1820371" cy="363172"/>
    <xdr:sp macro="" textlink="Pivot!E8">
      <xdr:nvSpPr>
        <xdr:cNvPr id="67" name="TextBox 66">
          <a:extLst>
            <a:ext uri="{FF2B5EF4-FFF2-40B4-BE49-F238E27FC236}">
              <a16:creationId xmlns:a16="http://schemas.microsoft.com/office/drawing/2014/main" id="{39DA6E71-5D8B-472D-A9A9-4F6A613A0984}"/>
            </a:ext>
          </a:extLst>
        </xdr:cNvPr>
        <xdr:cNvSpPr txBox="1"/>
      </xdr:nvSpPr>
      <xdr:spPr>
        <a:xfrm>
          <a:off x="632797" y="7801243"/>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015D820-F8A9-4AE6-AAB4-5AC0FDF914AB}" type="TxLink">
            <a:rPr lang="en-US" sz="1400" b="1" i="0" u="none" strike="noStrike">
              <a:solidFill>
                <a:schemeClr val="bg1"/>
              </a:solidFill>
              <a:latin typeface="Aptos Narrow"/>
            </a:rPr>
            <a:pPr algn="ctr"/>
            <a:t> 60 </a:t>
          </a:fld>
          <a:endParaRPr lang="en-IN" sz="1400" b="1">
            <a:solidFill>
              <a:schemeClr val="bg1"/>
            </a:solidFill>
          </a:endParaRPr>
        </a:p>
      </xdr:txBody>
    </xdr:sp>
    <xdr:clientData/>
  </xdr:oneCellAnchor>
  <xdr:twoCellAnchor>
    <xdr:from>
      <xdr:col>1</xdr:col>
      <xdr:colOff>0</xdr:colOff>
      <xdr:row>2</xdr:row>
      <xdr:rowOff>0</xdr:rowOff>
    </xdr:from>
    <xdr:to>
      <xdr:col>4</xdr:col>
      <xdr:colOff>8228</xdr:colOff>
      <xdr:row>8</xdr:row>
      <xdr:rowOff>89647</xdr:rowOff>
    </xdr:to>
    <xdr:sp macro="" textlink="Pivot!A4">
      <xdr:nvSpPr>
        <xdr:cNvPr id="68" name="Rectangle 67">
          <a:extLst>
            <a:ext uri="{FF2B5EF4-FFF2-40B4-BE49-F238E27FC236}">
              <a16:creationId xmlns:a16="http://schemas.microsoft.com/office/drawing/2014/main" id="{B67EE6A2-E3A2-4712-A030-167F68FC2AF8}"/>
            </a:ext>
          </a:extLst>
        </xdr:cNvPr>
        <xdr:cNvSpPr/>
      </xdr:nvSpPr>
      <xdr:spPr>
        <a:xfrm>
          <a:off x="609600" y="370114"/>
          <a:ext cx="1837028" cy="1199990"/>
        </a:xfrm>
        <a:prstGeom prst="rect">
          <a:avLst/>
        </a:prstGeom>
        <a:solidFill>
          <a:schemeClr val="accent6"/>
        </a:solidFill>
        <a:effectLst>
          <a:outerShdw blurRad="254000" dist="127000" dir="3300000" sx="98000" sy="98000" algn="ctr" rotWithShape="0">
            <a:srgbClr val="000000">
              <a:alpha val="49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IN" sz="3200" b="1" cap="none" spc="0">
            <a:ln w="0"/>
            <a:solidFill>
              <a:schemeClr val="bg1"/>
            </a:solidFill>
            <a:effectLst>
              <a:outerShdw blurRad="38100" dist="25400" dir="5400000" algn="ctr" rotWithShape="0">
                <a:srgbClr val="6E747A">
                  <a:alpha val="43000"/>
                </a:srgbClr>
              </a:outerShdw>
            </a:effectLst>
          </a:endParaRPr>
        </a:p>
      </xdr:txBody>
    </xdr:sp>
    <xdr:clientData/>
  </xdr:twoCellAnchor>
  <xdr:oneCellAnchor>
    <xdr:from>
      <xdr:col>1</xdr:col>
      <xdr:colOff>15577</xdr:colOff>
      <xdr:row>2</xdr:row>
      <xdr:rowOff>44083</xdr:rowOff>
    </xdr:from>
    <xdr:ext cx="1820371" cy="363172"/>
    <xdr:sp macro="" textlink="">
      <xdr:nvSpPr>
        <xdr:cNvPr id="69" name="TextBox 68">
          <a:extLst>
            <a:ext uri="{FF2B5EF4-FFF2-40B4-BE49-F238E27FC236}">
              <a16:creationId xmlns:a16="http://schemas.microsoft.com/office/drawing/2014/main" id="{C9BAB240-07D4-4D69-A882-A270C493869E}"/>
            </a:ext>
          </a:extLst>
        </xdr:cNvPr>
        <xdr:cNvSpPr txBox="1"/>
      </xdr:nvSpPr>
      <xdr:spPr>
        <a:xfrm>
          <a:off x="625177" y="414197"/>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Calls</a:t>
          </a:r>
        </a:p>
      </xdr:txBody>
    </xdr:sp>
    <xdr:clientData/>
  </xdr:oneCellAnchor>
  <xdr:twoCellAnchor>
    <xdr:from>
      <xdr:col>1</xdr:col>
      <xdr:colOff>338</xdr:colOff>
      <xdr:row>3</xdr:row>
      <xdr:rowOff>175315</xdr:rowOff>
    </xdr:from>
    <xdr:to>
      <xdr:col>4</xdr:col>
      <xdr:colOff>0</xdr:colOff>
      <xdr:row>6</xdr:row>
      <xdr:rowOff>74736</xdr:rowOff>
    </xdr:to>
    <xdr:sp macro="" textlink="Pivot!A4">
      <xdr:nvSpPr>
        <xdr:cNvPr id="70" name="TextBox 69">
          <a:extLst>
            <a:ext uri="{FF2B5EF4-FFF2-40B4-BE49-F238E27FC236}">
              <a16:creationId xmlns:a16="http://schemas.microsoft.com/office/drawing/2014/main" id="{10C016CC-6426-491A-80DA-9A9BED6D233D}"/>
            </a:ext>
          </a:extLst>
        </xdr:cNvPr>
        <xdr:cNvSpPr txBox="1"/>
      </xdr:nvSpPr>
      <xdr:spPr>
        <a:xfrm>
          <a:off x="609938" y="730486"/>
          <a:ext cx="1828462" cy="454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A9207F-4C57-46E3-A742-EFFA6B3ADEC6}" type="TxLink">
            <a:rPr lang="en-US" sz="2800" b="1" i="0" u="none" strike="noStrike">
              <a:solidFill>
                <a:schemeClr val="bg1"/>
              </a:solidFill>
              <a:latin typeface="Aptos Narrow"/>
            </a:rPr>
            <a:pPr algn="ctr"/>
            <a:t> 1,000 </a:t>
          </a:fld>
          <a:endParaRPr lang="en-IN" sz="2800" b="1">
            <a:solidFill>
              <a:schemeClr val="bg1"/>
            </a:solidFill>
          </a:endParaRPr>
        </a:p>
      </xdr:txBody>
    </xdr:sp>
    <xdr:clientData/>
  </xdr:twoCellAnchor>
  <xdr:twoCellAnchor editAs="oneCell">
    <xdr:from>
      <xdr:col>1</xdr:col>
      <xdr:colOff>76538</xdr:colOff>
      <xdr:row>2</xdr:row>
      <xdr:rowOff>59324</xdr:rowOff>
    </xdr:from>
    <xdr:to>
      <xdr:col>1</xdr:col>
      <xdr:colOff>396459</xdr:colOff>
      <xdr:row>3</xdr:row>
      <xdr:rowOff>167677</xdr:rowOff>
    </xdr:to>
    <xdr:pic>
      <xdr:nvPicPr>
        <xdr:cNvPr id="71" name="Graphic 70" descr="Receiver with solid fill">
          <a:extLst>
            <a:ext uri="{FF2B5EF4-FFF2-40B4-BE49-F238E27FC236}">
              <a16:creationId xmlns:a16="http://schemas.microsoft.com/office/drawing/2014/main" id="{2564CC68-2591-4939-B7DF-3E76151A065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6138" y="429438"/>
          <a:ext cx="319921" cy="293410"/>
        </a:xfrm>
        <a:prstGeom prst="rect">
          <a:avLst/>
        </a:prstGeom>
      </xdr:spPr>
    </xdr:pic>
    <xdr:clientData/>
  </xdr:twoCellAnchor>
  <xdr:oneCellAnchor>
    <xdr:from>
      <xdr:col>1</xdr:col>
      <xdr:colOff>23197</xdr:colOff>
      <xdr:row>6</xdr:row>
      <xdr:rowOff>28842</xdr:rowOff>
    </xdr:from>
    <xdr:ext cx="1820371" cy="363172"/>
    <xdr:sp macro="" textlink="Pivot!A8">
      <xdr:nvSpPr>
        <xdr:cNvPr id="72" name="TextBox 71">
          <a:extLst>
            <a:ext uri="{FF2B5EF4-FFF2-40B4-BE49-F238E27FC236}">
              <a16:creationId xmlns:a16="http://schemas.microsoft.com/office/drawing/2014/main" id="{E9241483-AF88-4613-9610-EEA0C5B05AB8}"/>
            </a:ext>
          </a:extLst>
        </xdr:cNvPr>
        <xdr:cNvSpPr txBox="1"/>
      </xdr:nvSpPr>
      <xdr:spPr>
        <a:xfrm>
          <a:off x="632797" y="1139185"/>
          <a:ext cx="1820371" cy="363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58188ED-9159-4115-999B-5D520B21C068}" type="TxLink">
            <a:rPr lang="en-US" sz="1400" b="1" i="0" u="none" strike="noStrike">
              <a:solidFill>
                <a:schemeClr val="bg1"/>
              </a:solidFill>
              <a:latin typeface="Aptos Narrow"/>
            </a:rPr>
            <a:pPr algn="ctr"/>
            <a:t> 189 </a:t>
          </a:fld>
          <a:endParaRPr lang="en-IN" sz="1400" b="1">
            <a:solidFill>
              <a:schemeClr val="bg1"/>
            </a:solidFill>
          </a:endParaRPr>
        </a:p>
      </xdr:txBody>
    </xdr:sp>
    <xdr:clientData/>
  </xdr:oneCellAnchor>
  <xdr:twoCellAnchor editAs="oneCell">
    <xdr:from>
      <xdr:col>15</xdr:col>
      <xdr:colOff>108445</xdr:colOff>
      <xdr:row>22</xdr:row>
      <xdr:rowOff>0</xdr:rowOff>
    </xdr:from>
    <xdr:to>
      <xdr:col>18</xdr:col>
      <xdr:colOff>0</xdr:colOff>
      <xdr:row>32</xdr:row>
      <xdr:rowOff>115782</xdr:rowOff>
    </xdr:to>
    <mc:AlternateContent xmlns:mc="http://schemas.openxmlformats.org/markup-compatibility/2006" xmlns:a14="http://schemas.microsoft.com/office/drawing/2010/main">
      <mc:Choice Requires="a14">
        <xdr:graphicFrame macro="">
          <xdr:nvGraphicFramePr>
            <xdr:cNvPr id="74" name="Representative">
              <a:extLst>
                <a:ext uri="{FF2B5EF4-FFF2-40B4-BE49-F238E27FC236}">
                  <a16:creationId xmlns:a16="http://schemas.microsoft.com/office/drawing/2014/main" id="{0C2B4916-ED17-45F5-8166-AF1EE77ED60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9252445" y="4071257"/>
              <a:ext cx="1720355" cy="1966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604343</xdr:colOff>
      <xdr:row>4</xdr:row>
      <xdr:rowOff>0</xdr:rowOff>
    </xdr:from>
    <xdr:to>
      <xdr:col>19</xdr:col>
      <xdr:colOff>0</xdr:colOff>
      <xdr:row>18</xdr:row>
      <xdr:rowOff>163687</xdr:rowOff>
    </xdr:to>
    <xdr:graphicFrame macro="">
      <xdr:nvGraphicFramePr>
        <xdr:cNvPr id="76" name="Chart 75">
          <a:extLst>
            <a:ext uri="{FF2B5EF4-FFF2-40B4-BE49-F238E27FC236}">
              <a16:creationId xmlns:a16="http://schemas.microsoft.com/office/drawing/2014/main" id="{AA90A98C-DC16-4DB5-A329-4A9B48DF8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22</xdr:row>
      <xdr:rowOff>0</xdr:rowOff>
    </xdr:from>
    <xdr:to>
      <xdr:col>11</xdr:col>
      <xdr:colOff>170329</xdr:colOff>
      <xdr:row>44</xdr:row>
      <xdr:rowOff>83127</xdr:rowOff>
    </xdr:to>
    <xdr:graphicFrame macro="">
      <xdr:nvGraphicFramePr>
        <xdr:cNvPr id="4" name="Chart 3">
          <a:extLst>
            <a:ext uri="{FF2B5EF4-FFF2-40B4-BE49-F238E27FC236}">
              <a16:creationId xmlns:a16="http://schemas.microsoft.com/office/drawing/2014/main" id="{AE24F52D-6B7C-4D30-B3BE-E2E3CD7FC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125506</xdr:colOff>
      <xdr:row>22</xdr:row>
      <xdr:rowOff>0</xdr:rowOff>
    </xdr:from>
    <xdr:to>
      <xdr:col>14</xdr:col>
      <xdr:colOff>585825</xdr:colOff>
      <xdr:row>44</xdr:row>
      <xdr:rowOff>83127</xdr:rowOff>
    </xdr:to>
    <xdr:graphicFrame macro="">
      <xdr:nvGraphicFramePr>
        <xdr:cNvPr id="5" name="Chart 4">
          <a:extLst>
            <a:ext uri="{FF2B5EF4-FFF2-40B4-BE49-F238E27FC236}">
              <a16:creationId xmlns:a16="http://schemas.microsoft.com/office/drawing/2014/main" id="{ED765759-09DB-4E55-8214-10D3FBB29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609599</xdr:colOff>
      <xdr:row>2</xdr:row>
      <xdr:rowOff>0</xdr:rowOff>
    </xdr:from>
    <xdr:to>
      <xdr:col>14</xdr:col>
      <xdr:colOff>600635</xdr:colOff>
      <xdr:row>20</xdr:row>
      <xdr:rowOff>116542</xdr:rowOff>
    </xdr:to>
    <xdr:graphicFrame macro="">
      <xdr:nvGraphicFramePr>
        <xdr:cNvPr id="6" name="Chart 5">
          <a:extLst>
            <a:ext uri="{FF2B5EF4-FFF2-40B4-BE49-F238E27FC236}">
              <a16:creationId xmlns:a16="http://schemas.microsoft.com/office/drawing/2014/main" id="{A3B84919-6934-42BF-B545-CE4E6A2D0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141516</xdr:colOff>
      <xdr:row>2</xdr:row>
      <xdr:rowOff>0</xdr:rowOff>
    </xdr:from>
    <xdr:to>
      <xdr:col>26</xdr:col>
      <xdr:colOff>76202</xdr:colOff>
      <xdr:row>20</xdr:row>
      <xdr:rowOff>0</xdr:rowOff>
    </xdr:to>
    <xdr:graphicFrame macro="">
      <xdr:nvGraphicFramePr>
        <xdr:cNvPr id="2" name="Chart 1">
          <a:extLst>
            <a:ext uri="{FF2B5EF4-FFF2-40B4-BE49-F238E27FC236}">
              <a16:creationId xmlns:a16="http://schemas.microsoft.com/office/drawing/2014/main" id="{F4BB143B-3BCC-4DE0-B534-DAE68D498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26</xdr:col>
      <xdr:colOff>228602</xdr:colOff>
      <xdr:row>2</xdr:row>
      <xdr:rowOff>0</xdr:rowOff>
    </xdr:from>
    <xdr:to>
      <xdr:col>32</xdr:col>
      <xdr:colOff>228602</xdr:colOff>
      <xdr:row>20</xdr:row>
      <xdr:rowOff>1</xdr:rowOff>
    </xdr:to>
    <xdr:graphicFrame macro="">
      <xdr:nvGraphicFramePr>
        <xdr:cNvPr id="3" name="Chart 2">
          <a:extLst>
            <a:ext uri="{FF2B5EF4-FFF2-40B4-BE49-F238E27FC236}">
              <a16:creationId xmlns:a16="http://schemas.microsoft.com/office/drawing/2014/main" id="{8E9B5087-7D96-4A80-B16C-6696F36C2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Gowda" refreshedDate="46092.437447453703" backgroundQuery="1" createdVersion="8" refreshedVersion="8" minRefreshableVersion="3" recordCount="0" supportSubquery="1" supportAdvancedDrill="1" xr:uid="{76348933-89CD-4DF9-A1D2-C1E3D0A672C2}">
  <cacheSource type="external" connectionId="2"/>
  <cacheFields count="3">
    <cacheField name="[Measures].[Call_Count]" caption="Call_Count" numFmtId="0" hierarchy="18" level="32767"/>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Table3].[Rating]" caption="Rating" attribute="1" defaultMemberUniqueName="[Table3].[Rating].[All]" allUniqueName="[Table3].[Rating].[All]" dimensionUniqueName="[Table3]"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_Count]" caption="Call_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4">
    <dimension name="calls" uniqueName="[calls]" caption="calls"/>
    <dimension name="customers" uniqueName="[customers]" caption="customers"/>
    <dimension measure="1" name="Measures" uniqueName="[Measures]" caption="Measures"/>
    <dimension name="Table3" uniqueName="[Table3]" caption="Table3"/>
  </dimensions>
  <measureGroups count="3">
    <measureGroup name="calls" caption="calls"/>
    <measureGroup name="customers" caption="customers"/>
    <measureGroup name="Table3" caption="Table3"/>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Gowda" refreshedDate="46092.437448495373" backgroundQuery="1" createdVersion="8" refreshedVersion="8" minRefreshableVersion="3" recordCount="0" supportSubquery="1" supportAdvancedDrill="1" xr:uid="{EA32CEA7-8C49-41AB-BDBC-61380B2279A6}">
  <cacheSource type="external" connectionId="2"/>
  <cacheFields count="5">
    <cacheField name="[Measures].[Call_Count]" caption="Call_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3].[Rating]" caption="Rating" attribute="1" defaultMemberUniqueName="[Table3].[Rating].[All]" allUniqueName="[Table3].[Rating].[All]" dimensionUniqueName="[Table3]"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_Count]" caption="Call_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4">
    <dimension name="calls" uniqueName="[calls]" caption="calls"/>
    <dimension name="customers" uniqueName="[customers]" caption="customers"/>
    <dimension measure="1" name="Measures" uniqueName="[Measures]" caption="Measures"/>
    <dimension name="Table3" uniqueName="[Table3]" caption="Table3"/>
  </dimensions>
  <measureGroups count="3">
    <measureGroup name="calls" caption="calls"/>
    <measureGroup name="customers" caption="customers"/>
    <measureGroup name="Table3" caption="Table3"/>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Gowda" refreshedDate="46092.43745578704" backgroundQuery="1" createdVersion="8" refreshedVersion="8" minRefreshableVersion="3" recordCount="0" supportSubquery="1" supportAdvancedDrill="1" xr:uid="{72CAB02C-D577-4318-9912-B824F6462A88}">
  <cacheSource type="external" connectionId="2"/>
  <cacheFields count="3">
    <cacheField name="[Measures].[Call_Count]" caption="Call_Count" numFmtId="0" hierarchy="18" level="32767"/>
    <cacheField name="[Measures].[Total Amount]" caption="Total Amount" numFmtId="0" hierarchy="19" level="32767"/>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3].[Rating]" caption="Rating" attribute="1" defaultMemberUniqueName="[Table3].[Rating].[All]" allUniqueName="[Table3].[Rating].[All]" dimensionUniqueName="[Table3]"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_Count]" caption="Call_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4">
    <dimension name="calls" uniqueName="[calls]" caption="calls"/>
    <dimension name="customers" uniqueName="[customers]" caption="customers"/>
    <dimension measure="1" name="Measures" uniqueName="[Measures]" caption="Measures"/>
    <dimension name="Table3" uniqueName="[Table3]" caption="Table3"/>
  </dimensions>
  <measureGroups count="3">
    <measureGroup name="calls" caption="calls"/>
    <measureGroup name="customers" caption="customers"/>
    <measureGroup name="Table3" caption="Table3"/>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Gowda" refreshedDate="46092.440231712964" backgroundQuery="1" createdVersion="8" refreshedVersion="8" minRefreshableVersion="3" recordCount="0" supportSubquery="1" supportAdvancedDrill="1" xr:uid="{F3494D0C-CDDF-4E40-854C-99A32F43CD15}">
  <cacheSource type="external" connectionId="2"/>
  <cacheFields count="6">
    <cacheField name="[Measures].[Call_Count]" caption="Call_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3].[Rating]" caption="Rating" attribute="1" defaultMemberUniqueName="[Table3].[Rating].[All]" allUniqueName="[Table3].[Rating].[All]" dimensionUniqueName="[Table3]"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_Count]" caption="Call_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4">
    <dimension name="calls" uniqueName="[calls]" caption="calls"/>
    <dimension name="customers" uniqueName="[customers]" caption="customers"/>
    <dimension measure="1" name="Measures" uniqueName="[Measures]" caption="Measures"/>
    <dimension name="Table3" uniqueName="[Table3]" caption="Table3"/>
  </dimensions>
  <measureGroups count="3">
    <measureGroup name="calls" caption="calls"/>
    <measureGroup name="customers" caption="customers"/>
    <measureGroup name="Table3" caption="Table3"/>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Gowda" refreshedDate="46092.440232060188" backgroundQuery="1" createdVersion="8" refreshedVersion="8" minRefreshableVersion="3" recordCount="0" supportSubquery="1" supportAdvancedDrill="1" xr:uid="{BA5F9065-B13D-4728-BE1D-B0CC1DC82A1B}">
  <cacheSource type="external" connectionId="2"/>
  <cacheFields count="5">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calls].[Date of Call].[Date of Call]" caption="Date of Call" numFmtId="0" hierarchy="4" level="1">
      <sharedItems containsSemiMixedTypes="0" containsNonDate="0" containsDate="1" containsString="0" minDate="2023-06-09T00:00:00" maxDate="2023-06-29T00:00:00" count="9">
        <d v="2023-06-09T00:00:00"/>
        <d v="2023-06-11T00:00:00"/>
        <d v="2023-06-13T00:00:00"/>
        <d v="2023-06-15T00:00:00"/>
        <d v="2023-06-21T00:00:00"/>
        <d v="2023-06-23T00:00:00"/>
        <d v="2023-06-24T00:00:00"/>
        <d v="2023-06-26T00:00:00"/>
        <d v="2023-06-28T00:00:00"/>
      </sharedItems>
    </cacheField>
    <cacheField name="[Measures].[Call_Count]" caption="Call_Count" numFmtId="0" hierarchy="18"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2"/>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3].[Rating]" caption="Rating" attribute="1" defaultMemberUniqueName="[Table3].[Rating].[All]" allUniqueName="[Table3].[Rating].[All]" dimensionUniqueName="[Table3]"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_Count]" caption="Call_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4">
    <dimension name="calls" uniqueName="[calls]" caption="calls"/>
    <dimension name="customers" uniqueName="[customers]" caption="customers"/>
    <dimension measure="1" name="Measures" uniqueName="[Measures]" caption="Measures"/>
    <dimension name="Table3" uniqueName="[Table3]" caption="Table3"/>
  </dimensions>
  <measureGroups count="3">
    <measureGroup name="calls" caption="calls"/>
    <measureGroup name="customers" caption="customers"/>
    <measureGroup name="Table3" caption="Table3"/>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Gowda" refreshedDate="46092.440232407411" backgroundQuery="1" createdVersion="8" refreshedVersion="8" minRefreshableVersion="3" recordCount="0" supportSubquery="1" supportAdvancedDrill="1" xr:uid="{8A418598-3267-4561-968F-9EBFC35710B1}">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_Count]" caption="Call_C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3].[Rating]" caption="Rating" attribute="1" defaultMemberUniqueName="[Table3].[Rating].[All]" allUniqueName="[Table3].[Rating].[All]" dimensionUniqueName="[Table3]"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_Count]" caption="Call_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4">
    <dimension name="calls" uniqueName="[calls]" caption="calls"/>
    <dimension name="customers" uniqueName="[customers]" caption="customers"/>
    <dimension measure="1" name="Measures" uniqueName="[Measures]" caption="Measures"/>
    <dimension name="Table3" uniqueName="[Table3]" caption="Table3"/>
  </dimensions>
  <measureGroups count="3">
    <measureGroup name="calls" caption="calls"/>
    <measureGroup name="customers" caption="customers"/>
    <measureGroup name="Table3" caption="Table3"/>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Gowda" refreshedDate="46092.440232754627" backgroundQuery="1" createdVersion="8" refreshedVersion="8" minRefreshableVersion="3" recordCount="0" supportSubquery="1" supportAdvancedDrill="1" xr:uid="{5917EF1C-DBAC-4D1E-97B4-EB57C946BE17}">
  <cacheSource type="external" connectionId="2"/>
  <cacheFields count="1">
    <cacheField name="[calls].[Representative].[Representative]" caption="Representative" numFmtId="0" hierarchy="3" level="1">
      <sharedItems count="1">
        <s v="R01"/>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3].[Rating]" caption="Rating" attribute="1" defaultMemberUniqueName="[Table3].[Rating].[All]" allUniqueName="[Table3].[Rating].[All]" dimensionUniqueName="[Table3]"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_Count]" caption="Call_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4">
    <dimension name="calls" uniqueName="[calls]" caption="calls"/>
    <dimension name="customers" uniqueName="[customers]" caption="customers"/>
    <dimension measure="1" name="Measures" uniqueName="[Measures]" caption="Measures"/>
    <dimension name="Table3" uniqueName="[Table3]" caption="Table3"/>
  </dimensions>
  <measureGroups count="3">
    <measureGroup name="calls" caption="calls"/>
    <measureGroup name="customers" caption="customers"/>
    <measureGroup name="Table3" caption="Table3"/>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Gowda" refreshedDate="46092.440233217596" backgroundQuery="1" createdVersion="8" refreshedVersion="8" minRefreshableVersion="3" recordCount="0" supportSubquery="1" supportAdvancedDrill="1" xr:uid="{264E7088-FA1F-4C8C-981B-AC04C0AAD6C0}">
  <cacheSource type="external" connectionId="2"/>
  <cacheFields count="4">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all_Count]" caption="Call_Count" numFmtId="0" hierarchy="18" level="32767"/>
    <cacheField name="[Table3].[Rating].[Rating]" caption="Rating" numFmtId="0" hierarchy="16"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Table3].[Rating].&amp;[0]"/>
            <x15:cachedUniqueName index="1" name="[Table3].[Rating].&amp;[1]"/>
            <x15:cachedUniqueName index="2" name="[Table3].[Rating].&amp;[2]"/>
            <x15:cachedUniqueName index="3" name="[Table3].[Rating].&amp;[3]"/>
            <x15:cachedUniqueName index="4" name="[Table3].[Rating].&amp;[4]"/>
            <x15:cachedUniqueName index="5" name="[Table3].[Rating].&amp;[5]"/>
          </x15:cachedUniqueNames>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3].[Rating]" caption="Rating" attribute="1" defaultMemberUniqueName="[Table3].[Rating].[All]" allUniqueName="[Table3].[Rating].[All]" dimensionUniqueName="[Table3]" displayFolder="" count="2" memberValueDatatype="20" unbalanced="0">
      <fieldsUsage count="2">
        <fieldUsage x="-1"/>
        <fieldUsage x="3"/>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_Count]" caption="Call_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4">
    <dimension name="calls" uniqueName="[calls]" caption="calls"/>
    <dimension name="customers" uniqueName="[customers]" caption="customers"/>
    <dimension measure="1" name="Measures" uniqueName="[Measures]" caption="Measures"/>
    <dimension name="Table3" uniqueName="[Table3]" caption="Table3"/>
  </dimensions>
  <measureGroups count="3">
    <measureGroup name="calls" caption="calls"/>
    <measureGroup name="customers" caption="customers"/>
    <measureGroup name="Table3" caption="Table3"/>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Gowda" refreshedDate="46092.437449189812" backgroundQuery="1" createdVersion="3" refreshedVersion="8" minRefreshableVersion="3" recordCount="0" supportSubquery="1" supportAdvancedDrill="1" xr:uid="{8F95779A-2F13-4CEB-96F2-EA8D7A558D60}">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3].[Rating]" caption="Rating" attribute="1" defaultMemberUniqueName="[Table3].[Rating].[All]" allUniqueName="[Table3].[Rating].[All]" dimensionUniqueName="[Table3]"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_Count]" caption="Call_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80693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B043CF-3891-42F1-9D43-E46289D3EEB3}" name="Gender calls" cacheId="100" applyNumberFormats="0" applyBorderFormats="0" applyFontFormats="0" applyPatternFormats="0" applyAlignmentFormats="0" applyWidthHeightFormats="1" dataCaption="Values" tag="6fb80269-9888-4366-acdb-560a1b2d4e3a" updatedVersion="8" minRefreshableVersion="3" useAutoFormatting="1" itemPrintTitles="1" createdVersion="8" indent="0" outline="1" outlineData="1" multipleFieldFilters="0" chartFormat="7">
  <location ref="B61:E66"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fld="0" subtotal="count" baseField="0" baseItem="0"/>
  </dataFields>
  <formats count="1">
    <format dxfId="70">
      <pivotArea outline="0" collapsedLevelsAreSubtotals="1" fieldPosition="0"/>
    </format>
  </format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72818D-1147-4AFF-B2EA-E6C5FD991612}" name="Summary  Pivot"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6"/>
    <dataField fld="2" subtotal="count" baseField="0" baseItem="0"/>
    <dataField fld="3" subtotal="count" baseField="0" baseItem="0" numFmtId="167"/>
    <dataField fld="4" subtotal="count" baseField="0" baseItem="0"/>
  </dataFields>
  <formats count="3">
    <format dxfId="73">
      <pivotArea outline="0" collapsedLevelsAreSubtotals="1" fieldPosition="0"/>
    </format>
    <format dxfId="72">
      <pivotArea outline="0" collapsedLevelsAreSubtotals="1" fieldPosition="0">
        <references count="1">
          <reference field="4294967294" count="1" selected="0">
            <x v="1"/>
          </reference>
        </references>
      </pivotArea>
    </format>
    <format dxfId="71">
      <pivotArea outline="0" collapsedLevelsAreSubtotals="1" fieldPosition="0">
        <references count="1">
          <reference field="4294967294" count="1" selected="0">
            <x v="3"/>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086F1D-9A64-4262-8988-16541E2EC2AB}" name="Selected Rep" cacheId="26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G56:G57" firstHeaderRow="1" firstDataRow="1" firstDataCol="1"/>
  <pivotFields count="1">
    <pivotField axis="axisRow" allDrilled="1" subtotalTop="0" showAll="0" sortType="ascending" defaultSubtotal="0" defaultAttributeDrillState="1">
      <items count="1">
        <item s="1" x="0"/>
      </items>
    </pivotField>
  </pivotFields>
  <rowFields count="1">
    <field x="0"/>
  </rowFields>
  <rowItems count="1">
    <i>
      <x/>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9DAB14-C00F-4C5F-86E8-3E2A98053F0B}" name="Weekly Trend" cacheId="257" applyNumberFormats="0" applyBorderFormats="0" applyFontFormats="0" applyPatternFormats="0" applyAlignmentFormats="0" applyWidthHeightFormats="1" dataCaption="Values" updatedVersion="8" minRefreshableVersion="3" useAutoFormatting="1" subtotalHiddenItems="1" itemPrintTitles="1" createdVersion="8" indent="0" showEmptyRow="1" showEmptyCol="1" outline="1" outlineData="1" multipleFieldFilters="0" chartFormat="10">
  <location ref="G19:H2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formats count="1">
    <format dxfId="74">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28A432-009B-49A0-B01A-B38D74CC0312}" name="Rep Satifaction" cacheId="263" applyNumberFormats="0" applyBorderFormats="0" applyFontFormats="0" applyPatternFormats="0" applyAlignmentFormats="0" applyWidthHeightFormats="1" dataCaption="Values" errorCaption="0" showError="1" missingCaption="0" tag="f435911e-35ef-4321-a34d-9b093bc6c233" updatedVersion="8" minRefreshableVersion="3" useAutoFormatting="1" subtotalHiddenItems="1" itemPrintTitles="1" createdVersion="8" indent="0" showEmptyRow="1" showEmptyCol="1" outline="1" outlineData="1" multipleFieldFilters="0" chartFormat="16">
  <location ref="B69:C76" firstHeaderRow="1" firstDataRow="1" firstDataCol="1"/>
  <pivotFields count="4">
    <pivotField allDrilled="1" subtotalTop="0" showAll="0" dataSourceSort="1" defaultSubtotal="0" defaultAttributeDrillState="1"/>
    <pivotField allDrilled="1" subtotalTop="0" showAll="0" sortType="ascending"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Items count="1">
    <i/>
  </colItems>
  <dataFields count="1">
    <dataField fld="2" subtotal="count" baseField="0" baseItem="0"/>
  </dataFields>
  <formats count="1">
    <format dxfId="75">
      <pivotArea outline="0" collapsedLevelsAreSubtotals="1" fieldPosition="0"/>
    </format>
  </formats>
  <chartFormats count="1">
    <chartFormat chart="10"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C3E106-5C0C-47BE-B4D3-05B37015CFB7}" name="Rep pivote"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0:D4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E36C26-28B3-409A-B5AD-76E868309E9A}" name="Rep Pivot" cacheId="2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6"/>
    <dataField fld="2" subtotal="count" baseField="0" baseItem="0"/>
    <dataField fld="3" subtotal="count" baseField="0" baseItem="0" numFmtId="167"/>
    <dataField fld="4" subtotal="count" baseField="0" baseItem="0"/>
  </dataFields>
  <formats count="3">
    <format dxfId="78">
      <pivotArea outline="0" collapsedLevelsAreSubtotals="1" fieldPosition="0"/>
    </format>
    <format dxfId="77">
      <pivotArea outline="0" collapsedLevelsAreSubtotals="1" fieldPosition="0">
        <references count="1">
          <reference field="4294967294" count="1" selected="0">
            <x v="1"/>
          </reference>
        </references>
      </pivotArea>
    </format>
    <format dxfId="76">
      <pivotArea outline="0" collapsedLevelsAreSubtotals="1" fieldPosition="0">
        <references count="1">
          <reference field="4294967294" count="1" selected="0">
            <x v="3"/>
          </reference>
        </references>
      </pivotArea>
    </format>
  </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BFE214-9F02-4837-AC21-3125EFFE792A}" name="Monthly Trend" cacheId="254" applyNumberFormats="0" applyBorderFormats="0" applyFontFormats="0" applyPatternFormats="0" applyAlignmentFormats="0" applyWidthHeightFormats="1" dataCaption="Values" tag="3719ac24-43e0-4418-90c8-1b140b825679" updatedVersion="8" minRefreshableVersion="3" useAutoFormatting="1" subtotalHiddenItems="1" itemPrintTitles="1" createdVersion="8" indent="0" outline="1" outlineData="1" multipleFieldFilters="0" chartFormat="25">
  <location ref="A19:C32" firstHeaderRow="0" firstDataRow="1" firstDataCol="1"/>
  <pivotFields count="5">
    <pivotField allDrilled="1" subtotalTop="0" showAll="0" dataSourceSort="1" defaultSubtotal="0" defaultAttributeDrillState="1"/>
    <pivotField axis="axisRow" allDrilled="1" subtotalTop="0" showAll="0" sortType="ascending" defaultSubtotal="0" defaultAttributeDrillState="1">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2"/>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_Count2" fld="4" subtotal="count" baseField="0" baseItem="0">
      <extLst>
        <ext xmlns:x14="http://schemas.microsoft.com/office/spreadsheetml/2009/9/main" uri="{E15A36E0-9728-4e99-A89B-3F7291B0FE68}">
          <x14:dataField sourceField="3" uniqueName="[__Xl2].[Measures].[Call_Count]"/>
        </ext>
      </extLst>
    </dataField>
  </dataFields>
  <formats count="1">
    <format dxfId="79">
      <pivotArea outline="0" collapsedLevelsAreSubtotals="1" fieldPosition="0"/>
    </format>
  </formats>
  <chartFormats count="6">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1"/>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73A2D06-B173-44C1-8F04-F734A46B1B8B}" sourceName="[calls].[Representative]">
  <pivotTables>
    <pivotTable tabId="6" name="Rep Pivot"/>
    <pivotTable tabId="6" name="Monthly Trend"/>
    <pivotTable tabId="6" name="Weekly Trend"/>
    <pivotTable tabId="6" name="Selected Rep"/>
    <pivotTable tabId="6" name="Rep Satifaction"/>
  </pivotTables>
  <data>
    <olap pivotCacheId="14806937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B9E359A-3EDE-4FCC-89B2-7067C32E1C0F}" cache="Slicer_Representative" caption="Representative" level="1"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69"/>
    <tableColumn id="5" xr3:uid="{5A35565E-8707-4DED-AD15-A0669D67B382}" name="Date of Call" dataDxfId="68"/>
    <tableColumn id="6" xr3:uid="{F2E4F158-B41F-47BC-8DF8-DFCADFEE4E40}" name="Purchase Amount"/>
    <tableColumn id="7" xr3:uid="{04B291B5-47BD-4F78-8FD8-D1551CCA6BD9}" name="Satisfaction Rating"/>
    <tableColumn id="8" xr3:uid="{6E4123C0-0B17-43B8-A142-A1E540CE974C}" name="FY" dataDxfId="67">
      <calculatedColumnFormula>IF(MONTH(calls[[#This Row],[Date of Call]])&lt;=6, YEAR(calls[[#This Row],[Date of Call]]), YEAR(calls[[#This Row],[Date of Call]])+1)</calculatedColumnFormula>
    </tableColumn>
    <tableColumn id="9" xr3:uid="{199FA271-5E9B-46CE-9BC6-2801F92CD17E}" name="Day of week" dataDxfId="66">
      <calculatedColumnFormula>TEXT(calls[[#This Row],[Date of Call]],"DDDD")</calculatedColumnFormula>
    </tableColumn>
    <tableColumn id="10" xr3:uid="{328CDB09-95B8-4D5E-9ED9-EF0D363735A1}" name="Duration Bucket" dataDxfId="6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6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63" headerRowBorderDxfId="62" tableBorderDxfId="61" totalsRowBorderDxfId="60">
  <autoFilter ref="Q3:T18" xr:uid="{27158F51-A707-4171-8A04-81FB0AABCBA5}"/>
  <tableColumns count="4">
    <tableColumn id="1" xr3:uid="{02688061-6A8C-4E23-B7FF-D00CD8B58CAC}" name="Customer ID" dataDxfId="59"/>
    <tableColumn id="2" xr3:uid="{771678B6-DB44-426B-9874-B4E421A440D5}" name="Gedner" dataDxfId="58"/>
    <tableColumn id="3" xr3:uid="{B0D41C62-587E-494D-B49A-603F2C05F8D3}" name="Age" dataDxfId="57"/>
    <tableColumn id="4" xr3:uid="{663F92D6-FE31-4D81-9E01-8D066DDC8A88}" name="City" dataDxfId="5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AB2A8-0F8B-4ECD-BF27-BBFC5ABD8A84}" name="Rating_Table" displayName="Rating_Table" ref="G69:G75" totalsRowShown="0">
  <autoFilter ref="G69:G75" xr:uid="{EF0AB2A8-0F8B-4ECD-BF27-BBFC5ABD8A84}"/>
  <tableColumns count="1">
    <tableColumn id="1" xr3:uid="{4ADA8E03-9292-4F7F-9F20-316A42216DD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B8" sqref="B8"/>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G4" sqref="G4"/>
    </sheetView>
  </sheetViews>
  <sheetFormatPr defaultRowHeight="14.4" x14ac:dyDescent="0.3"/>
  <cols>
    <col min="5" max="5" width="11" customWidth="1"/>
    <col min="6" max="6" width="10"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4C772-70D0-4D49-A6B0-4ECBC0997798}">
  <dimension ref="A3:K76"/>
  <sheetViews>
    <sheetView topLeftCell="A61" zoomScale="115" zoomScaleNormal="115" workbookViewId="0">
      <selection activeCell="H71" sqref="H71"/>
    </sheetView>
  </sheetViews>
  <sheetFormatPr defaultRowHeight="14.4" x14ac:dyDescent="0.3"/>
  <cols>
    <col min="1" max="2" width="12.44140625" bestFit="1" customWidth="1"/>
    <col min="3" max="3" width="10.21875" bestFit="1" customWidth="1"/>
    <col min="4" max="4" width="10.109375" bestFit="1" customWidth="1"/>
    <col min="5" max="5" width="7.6640625" bestFit="1" customWidth="1"/>
    <col min="6" max="6" width="4.109375" bestFit="1" customWidth="1"/>
    <col min="7" max="7" width="12.44140625" bestFit="1" customWidth="1"/>
    <col min="8" max="8" width="10.21875" bestFit="1" customWidth="1"/>
    <col min="9" max="9" width="10.5546875" bestFit="1" customWidth="1"/>
    <col min="10" max="10" width="11.44140625" bestFit="1" customWidth="1"/>
    <col min="11" max="150" width="10.33203125" bestFit="1" customWidth="1"/>
    <col min="151" max="151" width="10.5546875" bestFit="1"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7" spans="1:5" x14ac:dyDescent="0.3">
      <c r="A7" t="s">
        <v>1042</v>
      </c>
      <c r="B7" t="s">
        <v>1043</v>
      </c>
      <c r="C7" t="s">
        <v>1044</v>
      </c>
      <c r="D7" t="s">
        <v>1045</v>
      </c>
      <c r="E7" t="s">
        <v>1046</v>
      </c>
    </row>
    <row r="8" spans="1:5" x14ac:dyDescent="0.3">
      <c r="A8" s="21">
        <v>189</v>
      </c>
      <c r="B8" s="22">
        <v>18415</v>
      </c>
      <c r="C8" s="21">
        <v>16834</v>
      </c>
      <c r="D8" s="23">
        <v>3.9227513227513247</v>
      </c>
      <c r="E8" s="21">
        <v>60</v>
      </c>
    </row>
    <row r="19" spans="1:8" x14ac:dyDescent="0.3">
      <c r="A19" s="24" t="s">
        <v>1060</v>
      </c>
      <c r="B19" t="s">
        <v>1042</v>
      </c>
      <c r="C19" t="s">
        <v>1061</v>
      </c>
      <c r="G19" s="24" t="s">
        <v>1060</v>
      </c>
      <c r="H19" t="s">
        <v>1042</v>
      </c>
    </row>
    <row r="20" spans="1:8" x14ac:dyDescent="0.3">
      <c r="A20" s="25" t="s">
        <v>1048</v>
      </c>
      <c r="B20" s="21">
        <v>16</v>
      </c>
      <c r="C20" s="21">
        <v>16</v>
      </c>
      <c r="G20" s="25" t="s">
        <v>1065</v>
      </c>
      <c r="H20" s="21">
        <v>36</v>
      </c>
    </row>
    <row r="21" spans="1:8" x14ac:dyDescent="0.3">
      <c r="A21" s="25" t="s">
        <v>1049</v>
      </c>
      <c r="B21" s="21">
        <v>14</v>
      </c>
      <c r="C21" s="21">
        <v>14</v>
      </c>
      <c r="G21" s="25" t="s">
        <v>1063</v>
      </c>
      <c r="H21" s="21">
        <v>30</v>
      </c>
    </row>
    <row r="22" spans="1:8" x14ac:dyDescent="0.3">
      <c r="A22" s="25" t="s">
        <v>1050</v>
      </c>
      <c r="B22" s="21">
        <v>26</v>
      </c>
      <c r="C22" s="21">
        <v>26</v>
      </c>
      <c r="G22" s="25" t="s">
        <v>1067</v>
      </c>
      <c r="H22" s="21">
        <v>13</v>
      </c>
    </row>
    <row r="23" spans="1:8" x14ac:dyDescent="0.3">
      <c r="A23" s="25" t="s">
        <v>1051</v>
      </c>
      <c r="B23" s="21">
        <v>29</v>
      </c>
      <c r="C23" s="21">
        <v>29</v>
      </c>
      <c r="G23" s="25" t="s">
        <v>1068</v>
      </c>
      <c r="H23" s="21">
        <v>23</v>
      </c>
    </row>
    <row r="24" spans="1:8" x14ac:dyDescent="0.3">
      <c r="A24" s="25" t="s">
        <v>1052</v>
      </c>
      <c r="B24" s="21">
        <v>17</v>
      </c>
      <c r="C24" s="21">
        <v>17</v>
      </c>
      <c r="G24" s="25" t="s">
        <v>1066</v>
      </c>
      <c r="H24" s="21">
        <v>23</v>
      </c>
    </row>
    <row r="25" spans="1:8" x14ac:dyDescent="0.3">
      <c r="A25" s="25" t="s">
        <v>1053</v>
      </c>
      <c r="B25" s="21">
        <v>15</v>
      </c>
      <c r="C25" s="21">
        <v>15</v>
      </c>
      <c r="G25" s="25" t="s">
        <v>1062</v>
      </c>
      <c r="H25" s="21">
        <v>24</v>
      </c>
    </row>
    <row r="26" spans="1:8" x14ac:dyDescent="0.3">
      <c r="A26" s="25" t="s">
        <v>1054</v>
      </c>
      <c r="B26" s="21">
        <v>15</v>
      </c>
      <c r="C26" s="21">
        <v>15</v>
      </c>
      <c r="G26" s="25" t="s">
        <v>1064</v>
      </c>
      <c r="H26" s="21">
        <v>40</v>
      </c>
    </row>
    <row r="27" spans="1:8" x14ac:dyDescent="0.3">
      <c r="A27" s="25" t="s">
        <v>1055</v>
      </c>
      <c r="B27" s="21">
        <v>7</v>
      </c>
      <c r="C27" s="21">
        <v>7</v>
      </c>
      <c r="G27" s="25" t="s">
        <v>1047</v>
      </c>
      <c r="H27" s="21">
        <v>189</v>
      </c>
    </row>
    <row r="28" spans="1:8" x14ac:dyDescent="0.3">
      <c r="A28" s="25" t="s">
        <v>1056</v>
      </c>
      <c r="B28" s="21">
        <v>11</v>
      </c>
      <c r="C28" s="21">
        <v>11</v>
      </c>
    </row>
    <row r="29" spans="1:8" x14ac:dyDescent="0.3">
      <c r="A29" s="25" t="s">
        <v>1057</v>
      </c>
      <c r="B29" s="21">
        <v>24</v>
      </c>
      <c r="C29" s="21">
        <v>24</v>
      </c>
    </row>
    <row r="30" spans="1:8" x14ac:dyDescent="0.3">
      <c r="A30" s="25" t="s">
        <v>1058</v>
      </c>
      <c r="B30" s="21">
        <v>9</v>
      </c>
      <c r="C30" s="21">
        <v>9</v>
      </c>
    </row>
    <row r="31" spans="1:8" x14ac:dyDescent="0.3">
      <c r="A31" s="25" t="s">
        <v>1059</v>
      </c>
      <c r="B31" s="21">
        <v>6</v>
      </c>
      <c r="C31" s="21">
        <v>6</v>
      </c>
    </row>
    <row r="32" spans="1:8" x14ac:dyDescent="0.3">
      <c r="A32" s="25" t="s">
        <v>1047</v>
      </c>
      <c r="B32" s="21">
        <v>189</v>
      </c>
      <c r="C32" s="21">
        <v>189</v>
      </c>
    </row>
    <row r="38" spans="2:11" x14ac:dyDescent="0.3">
      <c r="H38" t="s">
        <v>1074</v>
      </c>
      <c r="J38" t="s">
        <v>1075</v>
      </c>
      <c r="K38" t="str">
        <f>G57</f>
        <v>R01</v>
      </c>
    </row>
    <row r="40" spans="2:11" x14ac:dyDescent="0.3">
      <c r="B40" s="24" t="s">
        <v>1060</v>
      </c>
      <c r="C40" t="s">
        <v>1042</v>
      </c>
      <c r="D40" t="s">
        <v>1043</v>
      </c>
      <c r="G40" s="14" t="s">
        <v>1069</v>
      </c>
      <c r="H40" s="14" t="s">
        <v>1070</v>
      </c>
      <c r="I40" s="14" t="s">
        <v>1071</v>
      </c>
      <c r="J40" s="14" t="s">
        <v>1072</v>
      </c>
      <c r="K40" s="14" t="s">
        <v>1073</v>
      </c>
    </row>
    <row r="41" spans="2:11" x14ac:dyDescent="0.3">
      <c r="B41" s="25" t="s">
        <v>11</v>
      </c>
      <c r="C41" s="26">
        <v>189</v>
      </c>
      <c r="D41" s="26">
        <v>18415</v>
      </c>
      <c r="G41" t="str" cm="1">
        <f t="array" ref="G41:I45">B41:D45</f>
        <v>R01</v>
      </c>
      <c r="H41">
        <v>189</v>
      </c>
      <c r="I41" s="27">
        <v>18415</v>
      </c>
      <c r="J41">
        <f>IF(G41=$K$38,H41,NA())</f>
        <v>189</v>
      </c>
      <c r="K41" s="27">
        <f>IF(G41=$K$38,I41,NA())</f>
        <v>18415</v>
      </c>
    </row>
    <row r="42" spans="2:11" x14ac:dyDescent="0.3">
      <c r="B42" s="25" t="s">
        <v>9</v>
      </c>
      <c r="C42" s="26">
        <v>218</v>
      </c>
      <c r="D42" s="26">
        <v>20581</v>
      </c>
      <c r="G42" t="str">
        <v>R02</v>
      </c>
      <c r="H42">
        <v>218</v>
      </c>
      <c r="I42" s="27">
        <v>20581</v>
      </c>
      <c r="J42" t="e">
        <f t="shared" ref="J42:J45" si="0">IF(G42=$K$38,H42,NA())</f>
        <v>#N/A</v>
      </c>
      <c r="K42" s="27" t="e">
        <f t="shared" ref="K42:K45" si="1">IF(G42=$K$38,I42,NA())</f>
        <v>#N/A</v>
      </c>
    </row>
    <row r="43" spans="2:11" x14ac:dyDescent="0.3">
      <c r="B43" s="25" t="s">
        <v>6</v>
      </c>
      <c r="C43" s="26">
        <v>207</v>
      </c>
      <c r="D43" s="26">
        <v>20872</v>
      </c>
      <c r="G43" t="str">
        <v>R03</v>
      </c>
      <c r="H43">
        <v>207</v>
      </c>
      <c r="I43" s="27">
        <v>20872</v>
      </c>
      <c r="J43" t="e">
        <f t="shared" si="0"/>
        <v>#N/A</v>
      </c>
      <c r="K43" s="27" t="e">
        <f t="shared" si="1"/>
        <v>#N/A</v>
      </c>
    </row>
    <row r="44" spans="2:11" x14ac:dyDescent="0.3">
      <c r="B44" s="25" t="s">
        <v>13</v>
      </c>
      <c r="C44" s="26">
        <v>186</v>
      </c>
      <c r="D44" s="26">
        <v>16651</v>
      </c>
      <c r="G44" t="str">
        <v>R04</v>
      </c>
      <c r="H44">
        <v>186</v>
      </c>
      <c r="I44" s="27">
        <v>16651</v>
      </c>
      <c r="J44" t="e">
        <f t="shared" si="0"/>
        <v>#N/A</v>
      </c>
      <c r="K44" s="27" t="e">
        <f t="shared" si="1"/>
        <v>#N/A</v>
      </c>
    </row>
    <row r="45" spans="2:11" x14ac:dyDescent="0.3">
      <c r="B45" s="25" t="s">
        <v>10</v>
      </c>
      <c r="C45" s="26">
        <v>200</v>
      </c>
      <c r="D45" s="26">
        <v>20104</v>
      </c>
      <c r="G45" t="str">
        <v>R05</v>
      </c>
      <c r="H45">
        <v>200</v>
      </c>
      <c r="I45" s="27">
        <v>20104</v>
      </c>
      <c r="J45" t="e">
        <f t="shared" si="0"/>
        <v>#N/A</v>
      </c>
      <c r="K45" s="27" t="e">
        <f t="shared" si="1"/>
        <v>#N/A</v>
      </c>
    </row>
    <row r="46" spans="2:11" x14ac:dyDescent="0.3">
      <c r="B46" s="25" t="s">
        <v>1047</v>
      </c>
      <c r="C46" s="26">
        <v>1000</v>
      </c>
      <c r="D46" s="26">
        <v>96623</v>
      </c>
    </row>
    <row r="56" spans="2:7" x14ac:dyDescent="0.3">
      <c r="G56" s="24" t="s">
        <v>1060</v>
      </c>
    </row>
    <row r="57" spans="2:7" x14ac:dyDescent="0.3">
      <c r="G57" s="25" t="s">
        <v>11</v>
      </c>
    </row>
    <row r="61" spans="2:7" x14ac:dyDescent="0.3">
      <c r="B61" s="24" t="s">
        <v>1042</v>
      </c>
      <c r="C61" s="24" t="s">
        <v>1076</v>
      </c>
    </row>
    <row r="62" spans="2:7" x14ac:dyDescent="0.3">
      <c r="B62" s="24" t="s">
        <v>1060</v>
      </c>
      <c r="C62" t="s">
        <v>999</v>
      </c>
      <c r="D62" t="s">
        <v>998</v>
      </c>
      <c r="E62" t="s">
        <v>1047</v>
      </c>
    </row>
    <row r="63" spans="2:7" x14ac:dyDescent="0.3">
      <c r="B63" s="25" t="s">
        <v>1002</v>
      </c>
      <c r="C63" s="30">
        <v>144</v>
      </c>
      <c r="D63" s="30">
        <v>132</v>
      </c>
      <c r="E63" s="30">
        <v>276</v>
      </c>
    </row>
    <row r="64" spans="2:7" x14ac:dyDescent="0.3">
      <c r="B64" s="25" t="s">
        <v>1001</v>
      </c>
      <c r="C64" s="30">
        <v>326</v>
      </c>
      <c r="D64" s="30">
        <v>63</v>
      </c>
      <c r="E64" s="30">
        <v>389</v>
      </c>
    </row>
    <row r="65" spans="2:8" x14ac:dyDescent="0.3">
      <c r="B65" s="25" t="s">
        <v>1000</v>
      </c>
      <c r="C65" s="30">
        <v>129</v>
      </c>
      <c r="D65" s="30">
        <v>206</v>
      </c>
      <c r="E65" s="30">
        <v>335</v>
      </c>
    </row>
    <row r="66" spans="2:8" x14ac:dyDescent="0.3">
      <c r="B66" s="25" t="s">
        <v>1047</v>
      </c>
      <c r="C66" s="30">
        <v>599</v>
      </c>
      <c r="D66" s="30">
        <v>401</v>
      </c>
      <c r="E66" s="30">
        <v>1000</v>
      </c>
    </row>
    <row r="69" spans="2:8" x14ac:dyDescent="0.3">
      <c r="B69" s="24" t="s">
        <v>1060</v>
      </c>
      <c r="C69" t="s">
        <v>1042</v>
      </c>
      <c r="G69" t="s">
        <v>1077</v>
      </c>
      <c r="H69" s="28"/>
    </row>
    <row r="70" spans="2:8" x14ac:dyDescent="0.3">
      <c r="B70" s="25">
        <v>0</v>
      </c>
      <c r="C70" s="30">
        <v>0</v>
      </c>
      <c r="G70">
        <v>0</v>
      </c>
      <c r="H70" s="29"/>
    </row>
    <row r="71" spans="2:8" x14ac:dyDescent="0.3">
      <c r="B71" s="25">
        <v>1</v>
      </c>
      <c r="C71" s="30">
        <v>1</v>
      </c>
      <c r="G71">
        <v>1</v>
      </c>
      <c r="H71" s="29"/>
    </row>
    <row r="72" spans="2:8" x14ac:dyDescent="0.3">
      <c r="B72" s="25">
        <v>2</v>
      </c>
      <c r="C72" s="30">
        <v>9</v>
      </c>
      <c r="G72">
        <v>2</v>
      </c>
      <c r="H72" s="29"/>
    </row>
    <row r="73" spans="2:8" x14ac:dyDescent="0.3">
      <c r="B73" s="25">
        <v>3</v>
      </c>
      <c r="C73" s="30">
        <v>31</v>
      </c>
      <c r="G73">
        <v>3</v>
      </c>
      <c r="H73" s="29"/>
    </row>
    <row r="74" spans="2:8" x14ac:dyDescent="0.3">
      <c r="B74" s="25">
        <v>4</v>
      </c>
      <c r="C74" s="30">
        <v>88</v>
      </c>
      <c r="G74">
        <v>4</v>
      </c>
      <c r="H74" s="29"/>
    </row>
    <row r="75" spans="2:8" x14ac:dyDescent="0.3">
      <c r="B75" s="25">
        <v>5</v>
      </c>
      <c r="C75" s="30">
        <v>60</v>
      </c>
      <c r="G75">
        <v>5</v>
      </c>
      <c r="H75" s="29"/>
    </row>
    <row r="76" spans="2:8" x14ac:dyDescent="0.3">
      <c r="B76" s="25" t="s">
        <v>1047</v>
      </c>
      <c r="C76" s="30">
        <v>189</v>
      </c>
    </row>
  </sheetData>
  <pageMargins left="0.7" right="0.7" top="0.75" bottom="0.75" header="0.3" footer="0.3"/>
  <tableParts count="1">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F6CE-1616-4126-9795-EBC2EADFAAB0}">
  <dimension ref="A1"/>
  <sheetViews>
    <sheetView tabSelected="1" zoomScale="60" zoomScaleNormal="60" workbookViewId="0">
      <selection activeCell="AF27" sqref="AF27"/>
    </sheetView>
  </sheetViews>
  <sheetFormatPr defaultRowHeight="14.4" x14ac:dyDescent="0.3"/>
  <cols>
    <col min="1"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88000C7-3661-45F8-9BF4-7EC9A7C0AE7F}">
  <ds:schemaRefs/>
</ds:datastoreItem>
</file>

<file path=customXml/itemProps2.xml><?xml version="1.0" encoding="utf-8"?>
<ds:datastoreItem xmlns:ds="http://schemas.openxmlformats.org/officeDocument/2006/customXml" ds:itemID="{AF44DF05-318B-48E8-8923-A2F7123608A5}">
  <ds:schemaRefs/>
</ds:datastoreItem>
</file>

<file path=customXml/itemProps3.xml><?xml version="1.0" encoding="utf-8"?>
<ds:datastoreItem xmlns:ds="http://schemas.openxmlformats.org/officeDocument/2006/customXml" ds:itemID="{DD2FCF56-9F75-4A8E-9895-E50E68D9F1D2}">
  <ds:schemaRefs/>
</ds:datastoreItem>
</file>

<file path=customXml/itemProps4.xml><?xml version="1.0" encoding="utf-8"?>
<ds:datastoreItem xmlns:ds="http://schemas.openxmlformats.org/officeDocument/2006/customXml" ds:itemID="{C43C2B13-5E56-4FBE-94A6-4763232806F8}">
  <ds:schemaRefs/>
</ds:datastoreItem>
</file>

<file path=customXml/itemProps5.xml><?xml version="1.0" encoding="utf-8"?>
<ds:datastoreItem xmlns:ds="http://schemas.openxmlformats.org/officeDocument/2006/customXml" ds:itemID="{7BD817CE-2CAC-4988-BB70-7B498D690EE7}">
  <ds:schemaRefs/>
</ds:datastoreItem>
</file>

<file path=customXml/itemProps6.xml><?xml version="1.0" encoding="utf-8"?>
<ds:datastoreItem xmlns:ds="http://schemas.openxmlformats.org/officeDocument/2006/customXml" ds:itemID="{D65503E6-503D-4BB7-B693-439E9595C94A}">
  <ds:schemaRefs/>
</ds:datastoreItem>
</file>

<file path=customXml/itemProps7.xml><?xml version="1.0" encoding="utf-8"?>
<ds:datastoreItem xmlns:ds="http://schemas.openxmlformats.org/officeDocument/2006/customXml" ds:itemID="{D770E68F-55AF-41CD-9D6C-3E86E10CC413}">
  <ds:schemaRefs/>
</ds:datastoreItem>
</file>

<file path=customXml/itemProps8.xml><?xml version="1.0" encoding="utf-8"?>
<ds:datastoreItem xmlns:ds="http://schemas.openxmlformats.org/officeDocument/2006/customXml" ds:itemID="{8D126EB7-A03D-473C-9615-9C6ACC69C616}">
  <ds:schemaRefs>
    <ds:schemaRef ds:uri="http://schemas.microsoft.com/DataMashup"/>
  </ds:schemaRefs>
</ds:datastoreItem>
</file>

<file path=customXml/itemProps9.xml><?xml version="1.0" encoding="utf-8"?>
<ds:datastoreItem xmlns:ds="http://schemas.openxmlformats.org/officeDocument/2006/customXml" ds:itemID="{048452C4-EC65-4881-B661-C0661E134D92}">
  <ds:schemaRefs/>
</ds:datastoreItem>
</file>

<file path=customXml/itemProps10.xml><?xml version="1.0" encoding="utf-8"?>
<ds:datastoreItem xmlns:ds="http://schemas.openxmlformats.org/officeDocument/2006/customXml" ds:itemID="{886737B5-FDDE-4FD2-8BB9-D39E89A9C7EE}">
  <ds:schemaRefs/>
</ds:datastoreItem>
</file>

<file path=customXml/itemProps11.xml><?xml version="1.0" encoding="utf-8"?>
<ds:datastoreItem xmlns:ds="http://schemas.openxmlformats.org/officeDocument/2006/customXml" ds:itemID="{39C8E5BC-C3CE-46C2-8B37-EFD220E79123}">
  <ds:schemaRefs/>
</ds:datastoreItem>
</file>

<file path=customXml/itemProps12.xml><?xml version="1.0" encoding="utf-8"?>
<ds:datastoreItem xmlns:ds="http://schemas.openxmlformats.org/officeDocument/2006/customXml" ds:itemID="{7229358C-E4F9-42C3-B836-2BF228B1D2B0}">
  <ds:schemaRefs/>
</ds:datastoreItem>
</file>

<file path=customXml/itemProps13.xml><?xml version="1.0" encoding="utf-8"?>
<ds:datastoreItem xmlns:ds="http://schemas.openxmlformats.org/officeDocument/2006/customXml" ds:itemID="{CCBE4414-CA3F-4E7F-8739-2582DC7EDB68}">
  <ds:schemaRefs/>
</ds:datastoreItem>
</file>

<file path=customXml/itemProps14.xml><?xml version="1.0" encoding="utf-8"?>
<ds:datastoreItem xmlns:ds="http://schemas.openxmlformats.org/officeDocument/2006/customXml" ds:itemID="{DEE291A7-47D7-4AE6-B941-76888A8274C8}">
  <ds:schemaRefs/>
</ds:datastoreItem>
</file>

<file path=customXml/itemProps15.xml><?xml version="1.0" encoding="utf-8"?>
<ds:datastoreItem xmlns:ds="http://schemas.openxmlformats.org/officeDocument/2006/customXml" ds:itemID="{516D8467-8272-41C8-B166-8D5E75FF7829}">
  <ds:schemaRefs/>
</ds:datastoreItem>
</file>

<file path=customXml/itemProps16.xml><?xml version="1.0" encoding="utf-8"?>
<ds:datastoreItem xmlns:ds="http://schemas.openxmlformats.org/officeDocument/2006/customXml" ds:itemID="{889F4EC7-2883-44D3-9F76-7DF81069A449}">
  <ds:schemaRefs/>
</ds:datastoreItem>
</file>

<file path=customXml/itemProps17.xml><?xml version="1.0" encoding="utf-8"?>
<ds:datastoreItem xmlns:ds="http://schemas.openxmlformats.org/officeDocument/2006/customXml" ds:itemID="{0A88FEC1-AE58-44D8-A7E2-E4AA0E99B74D}">
  <ds:schemaRefs/>
</ds:datastoreItem>
</file>

<file path=customXml/itemProps18.xml><?xml version="1.0" encoding="utf-8"?>
<ds:datastoreItem xmlns:ds="http://schemas.openxmlformats.org/officeDocument/2006/customXml" ds:itemID="{79305790-C4D5-4FFC-9AC5-89519E936ACB}">
  <ds:schemaRefs/>
</ds:datastoreItem>
</file>

<file path=customXml/itemProps19.xml><?xml version="1.0" encoding="utf-8"?>
<ds:datastoreItem xmlns:ds="http://schemas.openxmlformats.org/officeDocument/2006/customXml" ds:itemID="{453E8F11-9761-4AF9-AB48-814590A29F08}">
  <ds:schemaRefs/>
</ds:datastoreItem>
</file>

<file path=customXml/itemProps20.xml><?xml version="1.0" encoding="utf-8"?>
<ds:datastoreItem xmlns:ds="http://schemas.openxmlformats.org/officeDocument/2006/customXml" ds:itemID="{EA836578-0593-43E4-9D81-D65766175CB9}">
  <ds:schemaRefs/>
</ds:datastoreItem>
</file>

<file path=customXml/itemProps21.xml><?xml version="1.0" encoding="utf-8"?>
<ds:datastoreItem xmlns:ds="http://schemas.openxmlformats.org/officeDocument/2006/customXml" ds:itemID="{B88F7831-A4C9-48B5-B3FF-6AB0081B610E}">
  <ds:schemaRefs/>
</ds:datastoreItem>
</file>

<file path=customXml/itemProps22.xml><?xml version="1.0" encoding="utf-8"?>
<ds:datastoreItem xmlns:ds="http://schemas.openxmlformats.org/officeDocument/2006/customXml" ds:itemID="{755DF913-9F40-4157-B346-EFF6781CA3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vt:lpstr>
      <vt:lpstr>Customer_Center_Report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Anish K</cp:lastModifiedBy>
  <dcterms:created xsi:type="dcterms:W3CDTF">2021-03-14T20:21:32Z</dcterms:created>
  <dcterms:modified xsi:type="dcterms:W3CDTF">2026-03-11T05:08:49Z</dcterms:modified>
</cp:coreProperties>
</file>